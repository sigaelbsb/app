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 Velásquez\Desktop\"/>
    </mc:Choice>
  </mc:AlternateContent>
  <xr:revisionPtr revIDLastSave="0" documentId="13_ncr:1_{F6F8AA2D-701B-434D-956E-E069CC7FF9C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oja2_2" sheetId="4" r:id="rId1"/>
    <sheet name="CONDICIONES" sheetId="2" r:id="rId2"/>
    <sheet name="GERENCIA " sheetId="3" r:id="rId3"/>
  </sheets>
  <externalReferences>
    <externalReference r:id="rId4"/>
  </externalReferences>
  <definedNames>
    <definedName name="_xlnm._FilterDatabase" localSheetId="2" hidden="1">'GERENCIA '!$A$7:$AB$67</definedName>
    <definedName name="_xlnm.Print_Area" localSheetId="2">'GERENCIA '!$A$1:$V$67</definedName>
    <definedName name="Excel_BuiltIn__FilterDatabase" localSheetId="0">Hoja2_2!$A$1:$R$110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3" l="1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13" i="3"/>
  <c r="G13" i="3" s="1"/>
  <c r="F12" i="3"/>
  <c r="G12" i="3" s="1"/>
  <c r="F9" i="3"/>
  <c r="G9" i="3" s="1"/>
  <c r="F10" i="3"/>
  <c r="G10" i="3" s="1"/>
  <c r="F11" i="3"/>
  <c r="G11" i="3" s="1"/>
  <c r="F8" i="3"/>
  <c r="G8" i="3" s="1"/>
</calcChain>
</file>

<file path=xl/sharedStrings.xml><?xml version="1.0" encoding="utf-8"?>
<sst xmlns="http://schemas.openxmlformats.org/spreadsheetml/2006/main" count="1438" uniqueCount="618">
  <si>
    <t>CEDULA</t>
  </si>
  <si>
    <t>APELLIDOS Y NOMBRES</t>
  </si>
  <si>
    <t>PROCESO</t>
  </si>
  <si>
    <t>FECHA  INGRESO</t>
  </si>
  <si>
    <t>CARGA FAMILIAR SAP</t>
  </si>
  <si>
    <t>NUM HIJOS SAP</t>
  </si>
  <si>
    <t>CRITICIDAD</t>
  </si>
  <si>
    <t>2) Habite en condición de arrimado, solo o con su grupo familiar.</t>
  </si>
  <si>
    <t>3) Habite en condición de alquiler, solo o con su grupo familiar.</t>
  </si>
  <si>
    <t>4) Habite en condición de alquiler, con solicitud u orden de desalojo.</t>
  </si>
  <si>
    <t>OBSERVACIONES</t>
  </si>
  <si>
    <t>GERENCIA</t>
  </si>
  <si>
    <t>5) Habite en vivienda catalogada de alto riesgo, así declarado por la autoridad competente (Protección Civil o Bomberos)</t>
  </si>
  <si>
    <t>CONDICIÓN ACTUAL HABITABILIDAD</t>
  </si>
  <si>
    <t>1) Habite en condición de hacinamiento, solo o con su grupo familiar.</t>
  </si>
  <si>
    <t>6) Habite en vivienda prestada, bajo su cuidado.</t>
  </si>
  <si>
    <t>7) Habite en un inmueble asignado, propiedad de la Empresa.</t>
  </si>
  <si>
    <t>INICIAL/ADQUISICIÓN</t>
  </si>
  <si>
    <t>INICIAL/MEJORAS</t>
  </si>
  <si>
    <t>ADICIONAL/ADQUISICIÓN</t>
  </si>
  <si>
    <t>ADICIONAL/MEJORAS</t>
  </si>
  <si>
    <t>SI</t>
  </si>
  <si>
    <t>NO</t>
  </si>
  <si>
    <t>FAMILIAR CON DISCAPACIDAD AVALADA POR EL CONAPDIS?</t>
  </si>
  <si>
    <t xml:space="preserve">¿TRABAJADOR TIENE DISCAPACIDAD AVALADA POR EL CONAPDIS? </t>
  </si>
  <si>
    <t>¿CUÁNTAS PERSONAS CONVIVEN EN EL NÚCLEO FAMILIAR DEL TRABAJADOR?</t>
  </si>
  <si>
    <t>ANTIGÜEDAD</t>
  </si>
  <si>
    <t>8) Habite un inmueble bajo otra condición diferente a las anteriores</t>
  </si>
  <si>
    <t>se</t>
  </si>
  <si>
    <t>ORDEN DE PRIORIDAD</t>
  </si>
  <si>
    <t>2.) REQUIERE ATENCIÓN MEDIA (DEBE ATENDERSE DESPUÉS DE CASOS CRÍTICOS)</t>
  </si>
  <si>
    <t>3.) REQUIERE ATENCIÓN NORMAL</t>
  </si>
  <si>
    <t>1.) REQUIERE ATENCIÓN INMEDIATA/CASO CRÍTICO POR ALTO RIESGO Y/O ELEVADO NIVEL DE VULNERABILIDAD</t>
  </si>
  <si>
    <r>
      <rPr>
        <b/>
        <sz val="11"/>
        <rFont val="Calibri"/>
        <family val="2"/>
      </rPr>
      <t>Gerencia:</t>
    </r>
    <r>
      <rPr>
        <b/>
        <sz val="11"/>
        <color indexed="10"/>
        <rFont val="Calibri"/>
        <family val="2"/>
      </rPr>
      <t xml:space="preserve"> </t>
    </r>
  </si>
  <si>
    <t xml:space="preserve"> ESTRICTAMENTE CONFIDENCIAL</t>
  </si>
  <si>
    <t>CÉDULA DE LA CÓNYUGE O CONCUBINA</t>
  </si>
  <si>
    <t>NOMBRE A APELLIDO DEL CÓNYUGE O CONCUBINA</t>
  </si>
  <si>
    <t>CÓNYUGE O CONCUBINA TRABAJA O TRABAJÓ EN PDVSA</t>
  </si>
  <si>
    <t>ES TRABAJADOR(A) ACTIVO(A)</t>
  </si>
  <si>
    <t>TRABAJÓ, ESTÁ RETIRADO</t>
  </si>
  <si>
    <t>NUNCA HA TRABAJO PDVSA</t>
  </si>
  <si>
    <t>TIPO DE PRESTAMO</t>
  </si>
  <si>
    <t>TRABAJADOR O FAMILIAR CON DISCAPACIDAD</t>
  </si>
  <si>
    <t>CÓNYUGE O CONCUBIN@ TRABAJADOR</t>
  </si>
  <si>
    <t>TIPO DE PRÉSTAMO / MOTIVO DEL PRÉSTAMO</t>
  </si>
  <si>
    <t>N</t>
  </si>
  <si>
    <t>Total FLE:</t>
  </si>
  <si>
    <t>Total casos críticos:</t>
  </si>
  <si>
    <t>JOSÉ VICENTE MILLÁN MONTAÑO</t>
  </si>
  <si>
    <t xml:space="preserve">YASIVIT DEL VALLE GONZÁLEZ GUISSEPPI </t>
  </si>
  <si>
    <t>ANA ELIUT GONZALEZ SALAZAR</t>
  </si>
  <si>
    <t>MARYFRANCI ANYALI NORIEGA BARRETO</t>
  </si>
  <si>
    <t>CARMEN ELENA RODRÍGUEZ PINTO</t>
  </si>
  <si>
    <t>JUAN ENRIQUE ZAMBRANO RONDON</t>
  </si>
  <si>
    <t>ALBERTO RAFAEL MARTINEZ VILLAHERMOSA</t>
  </si>
  <si>
    <t>BEATRÍZ JOSEFINA NUCCI CORTÉZ</t>
  </si>
  <si>
    <t>DANIELA CAROLINA PERNIA HENRIQUEZ</t>
  </si>
  <si>
    <t>DENYSSE JOSEFINA HERNANDEZ MACHADO</t>
  </si>
  <si>
    <t>EIRA ALEJANDRA LEÓN PEÑA</t>
  </si>
  <si>
    <t>ELIANA LIZKEIRA GONZÁLEZ PLAZA</t>
  </si>
  <si>
    <t>ELINOR DEL VALLE HURTADO MARCANO</t>
  </si>
  <si>
    <t>FERNANDA ELISAMA LÓPEZ CARRASQUERO</t>
  </si>
  <si>
    <t>FERNANDO DANIEL SALAZAR GONZÁLEZ</t>
  </si>
  <si>
    <t xml:space="preserve">ISABEL MARÍA ALBORNOZ MARCANO </t>
  </si>
  <si>
    <t>ISLENY ADRIANA FUENMAYOR LIPORACHI</t>
  </si>
  <si>
    <t>JAMNYMAR JOSÉ JIMÉNEZ DE MÁRQUEZ</t>
  </si>
  <si>
    <t>JESLHOR KATHERINE BRITO HERNÁNDEZ</t>
  </si>
  <si>
    <t>JOSÉ ÁNGEL LUCAS CARRASQUEL</t>
  </si>
  <si>
    <t>JUAN CARLOS CANELÓN</t>
  </si>
  <si>
    <t xml:space="preserve">JUAN CRICELIO GONZÁLEZ BARCELO </t>
  </si>
  <si>
    <t>JULIA ISABEL RUIZ VILLARROEL</t>
  </si>
  <si>
    <t>KARINA DEL VALLE BARRETO SERRANO</t>
  </si>
  <si>
    <t>LAURYS DEL VALLE MILLÁN DE RIVAS</t>
  </si>
  <si>
    <t>LORIANIS ZULLYN CELIZ CASTILLO</t>
  </si>
  <si>
    <t>LUIS JOSE RIVAS ROMERO</t>
  </si>
  <si>
    <t>LUISA JOSÉ JIMÉNEZ NUÑEZ</t>
  </si>
  <si>
    <t xml:space="preserve">MARÍA JOSÉ MARTÍNEZ OLIVEROS </t>
  </si>
  <si>
    <t>MARTÍN EDUARDO MARCANO</t>
  </si>
  <si>
    <t>MINERVA JOSEFINA MARTIN GUZMAN</t>
  </si>
  <si>
    <t>NEIDA MARGARITA GARCIA DE ROJAS</t>
  </si>
  <si>
    <t>OLGA ALICIA PARRA SALAZAR</t>
  </si>
  <si>
    <t>OMAR RAFAEL RIVAS VILLARROEL</t>
  </si>
  <si>
    <t>PATRICIA CAROLINA DIAZ MOLINA</t>
  </si>
  <si>
    <t>PATRICIA DEL JESÚS ACOSTA DÍAZ</t>
  </si>
  <si>
    <t xml:space="preserve">RUTHMARY JOSEFINA MORENO MARCANO </t>
  </si>
  <si>
    <t>SULMARY MARÍA BEJAS</t>
  </si>
  <si>
    <t>TRINELLYS DELVALLE DURAN DE CARVAJAL</t>
  </si>
  <si>
    <t>VANESSA DEL VALLE URRIETA ALEXANDER</t>
  </si>
  <si>
    <t>VIRGINIA ADRUDIS AGUILERA</t>
  </si>
  <si>
    <t>YADELSI CAROLINA PEINADO JIMÉNEZ</t>
  </si>
  <si>
    <t>YARITZA GABRIELA MAITA TORRES</t>
  </si>
  <si>
    <t xml:space="preserve">YENIRE ANDREINA GARCIA LAREZ </t>
  </si>
  <si>
    <t>BETZAIDA ZARAY GONZALEZ VARGAS</t>
  </si>
  <si>
    <t>YUDERCY ALEJANDRA MARCANO</t>
  </si>
  <si>
    <t>MILAGROS DEL CARMEN MARTÍNEZ MALPICA</t>
  </si>
  <si>
    <t>ADRIANA MARGARITA RODRIGUEZ LOPEZ</t>
  </si>
  <si>
    <t xml:space="preserve"> ROMINA DEL VALLE RUIZ</t>
  </si>
  <si>
    <t>NELLYS JOSEFINA LOPEZ TORRES</t>
  </si>
  <si>
    <t>FRANCHESCA GREYSIREE BERMUDEZ GONZALEZ</t>
  </si>
  <si>
    <t>NOHELY SORIBEL GONZALEZ TREJO</t>
  </si>
  <si>
    <t>YOHANDRI DEL CARMEN RONDON GARCIA</t>
  </si>
  <si>
    <t>JOSE ALY JIMENEZ ANGULO</t>
  </si>
  <si>
    <t>MARIA ALEJANDRA MARTINEZ CABRERA</t>
  </si>
  <si>
    <t>EYLLING KEYROVICK GONZALEZ YANEZ</t>
  </si>
  <si>
    <t>MARINELLYS COROMOTO RONDON VILLARROEL</t>
  </si>
  <si>
    <t>TEOBALDO JOSÉ FIGUEROA GASCÓN</t>
  </si>
  <si>
    <t>Recursos Humanos</t>
  </si>
  <si>
    <t>LUIS RICARDO SALMERON PRESILLA</t>
  </si>
  <si>
    <t>LUIS ALFREDO VELÁSQUEZ ALCÁZAR</t>
  </si>
  <si>
    <t>RECURSOS HUMANOS</t>
  </si>
  <si>
    <t>ESCUELA</t>
  </si>
  <si>
    <t>N.º</t>
  </si>
  <si>
    <t>Cédula</t>
  </si>
  <si>
    <t>Apellido(s)</t>
  </si>
  <si>
    <t>Nombre (s)</t>
  </si>
  <si>
    <t>Escuela(s)</t>
  </si>
  <si>
    <t>N° de Personal</t>
  </si>
  <si>
    <t>Fecha Aniversaria</t>
  </si>
  <si>
    <t>Años Servicio</t>
  </si>
  <si>
    <t>Correspondiente al Periodo vacacional:</t>
  </si>
  <si>
    <t>Desde</t>
  </si>
  <si>
    <t>Hasta</t>
  </si>
  <si>
    <t>Total Días</t>
  </si>
  <si>
    <t>Correspondiente al Periodo (s)  vacacional:</t>
  </si>
  <si>
    <t>Indicador</t>
  </si>
  <si>
    <t>Teléfono</t>
  </si>
  <si>
    <t>Supervisor Inmed. / Indicador /Tlf</t>
  </si>
  <si>
    <t>Cargo Actual</t>
  </si>
  <si>
    <t>ACOSTA</t>
  </si>
  <si>
    <t>PATRICIA</t>
  </si>
  <si>
    <t>UE LIBERTADOR BOLÍVAR</t>
  </si>
  <si>
    <t>ACOSTAPH</t>
  </si>
  <si>
    <t>0426-7200383</t>
  </si>
  <si>
    <t>ESPECIALISTA EN DIFICULTADES DE APRENDIZ</t>
  </si>
  <si>
    <t>AGUILERA</t>
  </si>
  <si>
    <t>VIRGINIA</t>
  </si>
  <si>
    <t>AGUILERAVS</t>
  </si>
  <si>
    <t>0424-9202587</t>
  </si>
  <si>
    <t>DOCENTE MEDIA GENERAL</t>
  </si>
  <si>
    <t>ALBORNOZ</t>
  </si>
  <si>
    <t>ISABEL</t>
  </si>
  <si>
    <t>ALBORNOZIH</t>
  </si>
  <si>
    <t>0426-3981776</t>
  </si>
  <si>
    <t>DOCENTE EDUCACIÓN INICIAL</t>
  </si>
  <si>
    <t>BARRETO</t>
  </si>
  <si>
    <t>KARINA</t>
  </si>
  <si>
    <t>BARRETOKD</t>
  </si>
  <si>
    <t>0416-1948996</t>
  </si>
  <si>
    <t>BEJAS</t>
  </si>
  <si>
    <t>SULMARY</t>
  </si>
  <si>
    <t>BEJASS</t>
  </si>
  <si>
    <t>0424-9329569</t>
  </si>
  <si>
    <t>BERMUDEZ GONZALEZ</t>
  </si>
  <si>
    <t>FRANCHESCA G</t>
  </si>
  <si>
    <t>0424-9651651</t>
  </si>
  <si>
    <t>DOCENTE PRIMARIA</t>
  </si>
  <si>
    <t>BRITO</t>
  </si>
  <si>
    <t>JESLHOR</t>
  </si>
  <si>
    <t>BRITOJKX</t>
  </si>
  <si>
    <t>0412-9487630</t>
  </si>
  <si>
    <t>CANELON</t>
  </si>
  <si>
    <t>JUAN</t>
  </si>
  <si>
    <t>CANELONJN</t>
  </si>
  <si>
    <t>0424-4238157</t>
  </si>
  <si>
    <t>CELIZ</t>
  </si>
  <si>
    <t>LORIANIS</t>
  </si>
  <si>
    <t>CELIZL</t>
  </si>
  <si>
    <t>0412-9494450</t>
  </si>
  <si>
    <t xml:space="preserve">DIAZ MOLINA </t>
  </si>
  <si>
    <t>MOLINA CAROLINA</t>
  </si>
  <si>
    <t>DIAZPCX</t>
  </si>
  <si>
    <t>0416-9900981</t>
  </si>
  <si>
    <t>PSICOPEDAGOGO</t>
  </si>
  <si>
    <t>DURAN</t>
  </si>
  <si>
    <t>TRINELLYS</t>
  </si>
  <si>
    <t>DURAMTN</t>
  </si>
  <si>
    <t>0424-9188018</t>
  </si>
  <si>
    <t>FIGUEROA G.</t>
  </si>
  <si>
    <t>TEOBALDO</t>
  </si>
  <si>
    <t>FIGUEROAT</t>
  </si>
  <si>
    <t>0416-6976328</t>
  </si>
  <si>
    <t>SUDIRECTOR ADMINISTRATIVO</t>
  </si>
  <si>
    <t>FUENMAYOR LIPORACHI</t>
  </si>
  <si>
    <t>ISLENY ADR</t>
  </si>
  <si>
    <t>FUENMAYORIS</t>
  </si>
  <si>
    <t>0424-9091817</t>
  </si>
  <si>
    <t>GARCIA ARENAS</t>
  </si>
  <si>
    <t>NEIDA</t>
  </si>
  <si>
    <t>GARCIANML</t>
  </si>
  <si>
    <t>0414-9989327</t>
  </si>
  <si>
    <t>GARCIA LAREZ</t>
  </si>
  <si>
    <t>YENIRE</t>
  </si>
  <si>
    <t>GARCIAYTH</t>
  </si>
  <si>
    <t>0416-7860704</t>
  </si>
  <si>
    <t>GONZALEZ</t>
  </si>
  <si>
    <t>ANA</t>
  </si>
  <si>
    <t>GONZALEZAEG</t>
  </si>
  <si>
    <t xml:space="preserve"> 0424-9464834</t>
  </si>
  <si>
    <t>COORDINADOR DE EVALUACIÓN</t>
  </si>
  <si>
    <t>ELIANA LIZKEIRA</t>
  </si>
  <si>
    <t>GONZALEZEKB</t>
  </si>
  <si>
    <t>0412-1275548</t>
  </si>
  <si>
    <t>YASIVIT</t>
  </si>
  <si>
    <t>GONZALEZYDT</t>
  </si>
  <si>
    <t>0416-9062003</t>
  </si>
  <si>
    <t>SUDIRECTOR ACADÉMICO</t>
  </si>
  <si>
    <t>GONZALEZ BARCELO</t>
  </si>
  <si>
    <t>GONZALEZJA</t>
  </si>
  <si>
    <t>0424-9288814</t>
  </si>
  <si>
    <t>GONZALEZ TREJO</t>
  </si>
  <si>
    <t>NOHELY SORIBEL</t>
  </si>
  <si>
    <t>0414-8637262</t>
  </si>
  <si>
    <t>GONZALEZ VARGAS</t>
  </si>
  <si>
    <t>BETZAIDA ZARAY</t>
  </si>
  <si>
    <t>GONZALEZBZX</t>
  </si>
  <si>
    <t>0416-9824842</t>
  </si>
  <si>
    <t>GONZALEZ YANEZ</t>
  </si>
  <si>
    <t>EYLLING KEYROVI</t>
  </si>
  <si>
    <t>0412-2406062</t>
  </si>
  <si>
    <t>HERNANDEZ</t>
  </si>
  <si>
    <t>DENYSSE JOSEFINA</t>
  </si>
  <si>
    <t>HERNADEZDJY</t>
  </si>
  <si>
    <t>0424-5725526</t>
  </si>
  <si>
    <t>DEFENSOR ESCOLAR</t>
  </si>
  <si>
    <t>HURTADO</t>
  </si>
  <si>
    <t>ELINOR DEL VALLE</t>
  </si>
  <si>
    <t>HURTADOEQ</t>
  </si>
  <si>
    <t>0412-3340579</t>
  </si>
  <si>
    <t>JIMENEZ ANGULO</t>
  </si>
  <si>
    <t>JOSE ALY</t>
  </si>
  <si>
    <t>0412-8783907</t>
  </si>
  <si>
    <t>JIMENEZ MATA</t>
  </si>
  <si>
    <t>JAMNYMAR JOSE</t>
  </si>
  <si>
    <t>JIMENEZJJQ</t>
  </si>
  <si>
    <t>0414-7686402</t>
  </si>
  <si>
    <t>JIMENEZ NUNEZ</t>
  </si>
  <si>
    <t>LUISA</t>
  </si>
  <si>
    <t>JIMENEZLAW</t>
  </si>
  <si>
    <t>0414-7701960</t>
  </si>
  <si>
    <t>LEON</t>
  </si>
  <si>
    <t>EIRA A</t>
  </si>
  <si>
    <t>LEONEAY</t>
  </si>
  <si>
    <t>0414-9918333</t>
  </si>
  <si>
    <t>LOPEZ</t>
  </si>
  <si>
    <t>FERNANDA</t>
  </si>
  <si>
    <t>LOPEZFAF</t>
  </si>
  <si>
    <t>0424-9554985</t>
  </si>
  <si>
    <t>LOPEZ TORRES</t>
  </si>
  <si>
    <t>NELLYS JOSEFINA</t>
  </si>
  <si>
    <t>0412-8655197</t>
  </si>
  <si>
    <t>LUCAS</t>
  </si>
  <si>
    <t>JOSE</t>
  </si>
  <si>
    <t>LUCASJN</t>
  </si>
  <si>
    <t>0416-7926910</t>
  </si>
  <si>
    <t>MAITA</t>
  </si>
  <si>
    <t>YARITZA G</t>
  </si>
  <si>
    <t>MAITAYG</t>
  </si>
  <si>
    <t>0412-0913435</t>
  </si>
  <si>
    <t>MARCANO</t>
  </si>
  <si>
    <t>YUDERCY</t>
  </si>
  <si>
    <t>MARCANOYAX</t>
  </si>
  <si>
    <t>0426-0355870</t>
  </si>
  <si>
    <t>MARCANO MARTIN</t>
  </si>
  <si>
    <t>EDUARDO</t>
  </si>
  <si>
    <t>MARCANOMEH</t>
  </si>
  <si>
    <t>0412-9429171</t>
  </si>
  <si>
    <t>MARTIN</t>
  </si>
  <si>
    <t>MINERVA</t>
  </si>
  <si>
    <t>MARTINMJ</t>
  </si>
  <si>
    <t>0416-1818890</t>
  </si>
  <si>
    <t>MARTINEZ</t>
  </si>
  <si>
    <t>ALBERTO</t>
  </si>
  <si>
    <t>MARTINEZARE</t>
  </si>
  <si>
    <t>0426-4941095</t>
  </si>
  <si>
    <t>MILAGROS</t>
  </si>
  <si>
    <t>16/12/2013</t>
  </si>
  <si>
    <t>MARTINEZMDA</t>
  </si>
  <si>
    <t>0412-2980380</t>
  </si>
  <si>
    <t>ANALISTA DE ARCHIVO</t>
  </si>
  <si>
    <t>MARIA</t>
  </si>
  <si>
    <t>MARTINEZMTN</t>
  </si>
  <si>
    <t>0416-2889081</t>
  </si>
  <si>
    <t>MARTÍNEZ CABRERA</t>
  </si>
  <si>
    <t>MARÍA ALEJANDRA</t>
  </si>
  <si>
    <t>0424-9559942</t>
  </si>
  <si>
    <t>MILLAN</t>
  </si>
  <si>
    <t>LAURYS DEL VALLE</t>
  </si>
  <si>
    <t>MILLANLH</t>
  </si>
  <si>
    <t>0416-5893543</t>
  </si>
  <si>
    <t>MILLAN MONTANO</t>
  </si>
  <si>
    <t>JOSE VICENTE</t>
  </si>
  <si>
    <t>MILLANJVX</t>
  </si>
  <si>
    <t>0416-1873879</t>
  </si>
  <si>
    <t>DIRECTOR ESCUELA LIBERTADOR BOLÍVAR</t>
  </si>
  <si>
    <t>MORENO</t>
  </si>
  <si>
    <t>RUTHMARY</t>
  </si>
  <si>
    <t>MORENORJD</t>
  </si>
  <si>
    <t>0414-1921643</t>
  </si>
  <si>
    <t>NORIEGA</t>
  </si>
  <si>
    <t>MARYFRANCI</t>
  </si>
  <si>
    <t>NORIEGAMS</t>
  </si>
  <si>
    <t>0424-9170859</t>
  </si>
  <si>
    <t>NUCCI</t>
  </si>
  <si>
    <t>BEATRIZ JOSEFINA</t>
  </si>
  <si>
    <t>NUCCIBJ</t>
  </si>
  <si>
    <t>0414-8862811</t>
  </si>
  <si>
    <t>PARRA SALAZAR</t>
  </si>
  <si>
    <t>OLGA</t>
  </si>
  <si>
    <t>PARRAOD</t>
  </si>
  <si>
    <t>0416-2985387</t>
  </si>
  <si>
    <t>COORDINADOR PEDAGÓGICO</t>
  </si>
  <si>
    <t>PEINADO</t>
  </si>
  <si>
    <t>YADELSI</t>
  </si>
  <si>
    <t>PEINADOY</t>
  </si>
  <si>
    <t>0426-2927664</t>
  </si>
  <si>
    <t>PERNIA</t>
  </si>
  <si>
    <t>DANIELA</t>
  </si>
  <si>
    <t>PERNIADN</t>
  </si>
  <si>
    <t>0426-9634633</t>
  </si>
  <si>
    <t>RIVAS</t>
  </si>
  <si>
    <t>LUIS</t>
  </si>
  <si>
    <t>RIVASLJG</t>
  </si>
  <si>
    <t>0426-4255537</t>
  </si>
  <si>
    <t xml:space="preserve">RIVAS VILLARROEL </t>
  </si>
  <si>
    <t>OMAR</t>
  </si>
  <si>
    <t>RIVASOX</t>
  </si>
  <si>
    <t>0414-8826188</t>
  </si>
  <si>
    <t>RODRIGUEZ</t>
  </si>
  <si>
    <t>CARMEN ELENA</t>
  </si>
  <si>
    <t>RODRIGUEZCEU</t>
  </si>
  <si>
    <t>0416-7883929</t>
  </si>
  <si>
    <t>RODRIGUEZ LOPEZ</t>
  </si>
  <si>
    <t>ADRIANA MARGARITA</t>
  </si>
  <si>
    <t>0416-3855873</t>
  </si>
  <si>
    <t>RONDON GARCIA</t>
  </si>
  <si>
    <t>YOHANDRI DEL CARMEN</t>
  </si>
  <si>
    <t>0412-1030345</t>
  </si>
  <si>
    <t>RONDON VILLARROEL</t>
  </si>
  <si>
    <t>MARINELLYS</t>
  </si>
  <si>
    <t>RONDONMAO</t>
  </si>
  <si>
    <t>0426-1871200</t>
  </si>
  <si>
    <t>RUIZ</t>
  </si>
  <si>
    <t>ROMINA DEL VALLE</t>
  </si>
  <si>
    <t>0426-1942900</t>
  </si>
  <si>
    <t>RUIZ VILLARROEL</t>
  </si>
  <si>
    <t>JULIA ISABEL</t>
  </si>
  <si>
    <t>RUIZJIX</t>
  </si>
  <si>
    <t>0416-9939770</t>
  </si>
  <si>
    <t>SALAZAR</t>
  </si>
  <si>
    <t>FERNANDO DANIEL</t>
  </si>
  <si>
    <t>SALAZARFAD</t>
  </si>
  <si>
    <t>0412-8614364</t>
  </si>
  <si>
    <t>SALMERON PRESILLA</t>
  </si>
  <si>
    <t>LUIS RICARDO</t>
  </si>
  <si>
    <t>SALMERONLR</t>
  </si>
  <si>
    <t>0412-8625780</t>
  </si>
  <si>
    <t>ANALISTA MAYOR PROG NAC DE APRENDIZAJE</t>
  </si>
  <si>
    <t>URRIETA</t>
  </si>
  <si>
    <t>ALEXANDER VANESSA</t>
  </si>
  <si>
    <t>URRIETAV</t>
  </si>
  <si>
    <t>0416-9660315</t>
  </si>
  <si>
    <t>VELASQUEZ  ALCAZAR</t>
  </si>
  <si>
    <t>07/04/2008</t>
  </si>
  <si>
    <t>VELASQUEZLAU</t>
  </si>
  <si>
    <t>0424-9107303</t>
  </si>
  <si>
    <t xml:space="preserve">ILIADA CAZORLA </t>
  </si>
  <si>
    <t>LIDER ESCUELAS</t>
  </si>
  <si>
    <t>ZAMBRANO</t>
  </si>
  <si>
    <t>ZAMBRANOJEU</t>
  </si>
  <si>
    <t>0424-9717566</t>
  </si>
  <si>
    <t>COORDINADOR DE CULTURA</t>
  </si>
  <si>
    <t>ACOSTA ALFONZO</t>
  </si>
  <si>
    <t>GABRIELA MARIA</t>
  </si>
  <si>
    <t>UE SANTA BÁRBARA</t>
  </si>
  <si>
    <t>30/08/2019</t>
  </si>
  <si>
    <t>ACOSTAGY</t>
  </si>
  <si>
    <t>0412-4989390</t>
  </si>
  <si>
    <t>ARCHILES</t>
  </si>
  <si>
    <t>EULIMAR</t>
  </si>
  <si>
    <t>22/04/2009</t>
  </si>
  <si>
    <t>ARCHILESE</t>
  </si>
  <si>
    <t>0414-7702978</t>
  </si>
  <si>
    <t>SOIRY MAR</t>
  </si>
  <si>
    <t>ARCHILESS</t>
  </si>
  <si>
    <t>0414-8725996</t>
  </si>
  <si>
    <t>ASTUDILLO ACOSTA</t>
  </si>
  <si>
    <t>MARIA ANTONEL</t>
  </si>
  <si>
    <t>ASTUDILLOMA</t>
  </si>
  <si>
    <t>0414-3856272</t>
  </si>
  <si>
    <t>BERMUDEZ HERNANDEZ</t>
  </si>
  <si>
    <t>JULIO RAFAEL</t>
  </si>
  <si>
    <t>19/08/2008</t>
  </si>
  <si>
    <t>BERMUDEZJAR</t>
  </si>
  <si>
    <t>0414-8576342</t>
  </si>
  <si>
    <t>BETANCOURT ESPIN</t>
  </si>
  <si>
    <t>ANICRIS DEL CARMEN</t>
  </si>
  <si>
    <t>0424-9383282</t>
  </si>
  <si>
    <t>BOLIVAR FIGUEREDO</t>
  </si>
  <si>
    <t>MILAGROS A</t>
  </si>
  <si>
    <t>0414-8532210</t>
  </si>
  <si>
    <t>ESPECIALISTA EN DIFICULTADES APRENDIZAJE</t>
  </si>
  <si>
    <t>MARIANNY JOSE</t>
  </si>
  <si>
    <t>06/08/2012</t>
  </si>
  <si>
    <t>BRITOMJH</t>
  </si>
  <si>
    <t>0424-9576055</t>
  </si>
  <si>
    <t>BUSTAMANTE CASTILLO</t>
  </si>
  <si>
    <t>KATHERINE</t>
  </si>
  <si>
    <t>0412-4374938</t>
  </si>
  <si>
    <t>CENTENO GAMBOA</t>
  </si>
  <si>
    <t>INGRID LORENA</t>
  </si>
  <si>
    <t>08/03/2006</t>
  </si>
  <si>
    <t>CENTENOI</t>
  </si>
  <si>
    <t>0424-9385817</t>
  </si>
  <si>
    <t>CHAVIEL RONDON</t>
  </si>
  <si>
    <t>ELIKA D</t>
  </si>
  <si>
    <t>01/04/2009</t>
  </si>
  <si>
    <t>CHAVIELE</t>
  </si>
  <si>
    <t>0424-9319096</t>
  </si>
  <si>
    <t>DIRECTOR ESCUELA SANTA BARBARA</t>
  </si>
  <si>
    <t>CLEMENTT BETANCOURT</t>
  </si>
  <si>
    <t>DELIZ VIOLETA</t>
  </si>
  <si>
    <t>CLEMENETTD</t>
  </si>
  <si>
    <t>0412-0911478</t>
  </si>
  <si>
    <t>CORDERO HERRERA</t>
  </si>
  <si>
    <t>ANA CELESTE</t>
  </si>
  <si>
    <t>0414-8773757</t>
  </si>
  <si>
    <t>DIAZ FEBRES</t>
  </si>
  <si>
    <t>MARICARMEN</t>
  </si>
  <si>
    <t>0412-9284104</t>
  </si>
  <si>
    <t>DIAZ PACEDO</t>
  </si>
  <si>
    <t>YELITZA CAROLINA</t>
  </si>
  <si>
    <t>09/04/2012</t>
  </si>
  <si>
    <t>DIAZYCH</t>
  </si>
  <si>
    <t>0424-9206962</t>
  </si>
  <si>
    <t>FEBRES DE LOPEZ</t>
  </si>
  <si>
    <t>EUDIS TERESA</t>
  </si>
  <si>
    <t>0424-9036845</t>
  </si>
  <si>
    <t>SUBDIRECTOR ACADÉMICO</t>
  </si>
  <si>
    <t>FERNANDEZ GUZMAN</t>
  </si>
  <si>
    <t>IRVIMAR JOSEFINA</t>
  </si>
  <si>
    <t>15/03/2023</t>
  </si>
  <si>
    <t>0424-9685213</t>
  </si>
  <si>
    <t>FIGUEROA</t>
  </si>
  <si>
    <t>ANA DAMELIS</t>
  </si>
  <si>
    <t>FIGUEROAADU</t>
  </si>
  <si>
    <t>0416-8854426</t>
  </si>
  <si>
    <t>FUENTES BUTTO</t>
  </si>
  <si>
    <t>MAIRENNYS MARGARITA</t>
  </si>
  <si>
    <t>08/12/2016</t>
  </si>
  <si>
    <t>FUENTESMQ</t>
  </si>
  <si>
    <t>0424-9105676</t>
  </si>
  <si>
    <t>FUNES OLIVEROS</t>
  </si>
  <si>
    <t>DAYANA ALEXANDRA</t>
  </si>
  <si>
    <t>15/03/2022</t>
  </si>
  <si>
    <t>FUNESDA</t>
  </si>
  <si>
    <t>0412-2961844</t>
  </si>
  <si>
    <t>PSICÓLOGO</t>
  </si>
  <si>
    <t>GARCIA DE HURTADO</t>
  </si>
  <si>
    <t>QUISMARYS</t>
  </si>
  <si>
    <t>0426-5946054 0424-9324818</t>
  </si>
  <si>
    <t>GOMEZ GOMEZ</t>
  </si>
  <si>
    <t>YURIMAR DEL VALLE</t>
  </si>
  <si>
    <t>GOMEZYDL</t>
  </si>
  <si>
    <t>0414-7953513</t>
  </si>
  <si>
    <t>GUERRA DE GALBAN</t>
  </si>
  <si>
    <t>LOURDES ELENA</t>
  </si>
  <si>
    <t>0424-9166517</t>
  </si>
  <si>
    <t>IDROGO PONCE</t>
  </si>
  <si>
    <t>JOSE MIGUEL</t>
  </si>
  <si>
    <t>IDROGOJM</t>
  </si>
  <si>
    <t>JAUREGUI RODRIGUEZ</t>
  </si>
  <si>
    <t>VASNY RAFAEL</t>
  </si>
  <si>
    <t>JAUREGUIV</t>
  </si>
  <si>
    <t>0424-9298141</t>
  </si>
  <si>
    <t>ANALISTA MAYOR DE ESCUELA</t>
  </si>
  <si>
    <t>LOPEZ JIMENEZ</t>
  </si>
  <si>
    <t>YESENIA MARGARITA</t>
  </si>
  <si>
    <t>0424-9528651</t>
  </si>
  <si>
    <t>LOPEZ ZABALA</t>
  </si>
  <si>
    <t>EMILSA VERUSKA</t>
  </si>
  <si>
    <t>0426-5951953</t>
  </si>
  <si>
    <t>MAITA INAGAS</t>
  </si>
  <si>
    <t>SORINEE DEL VALLE</t>
  </si>
  <si>
    <t>MAITASD</t>
  </si>
  <si>
    <t>0412-9411792</t>
  </si>
  <si>
    <t>MALAVE</t>
  </si>
  <si>
    <t>DIANA V</t>
  </si>
  <si>
    <t>MALAVEDV</t>
  </si>
  <si>
    <t>0414-7672386</t>
  </si>
  <si>
    <t>MARCANO GOITTE</t>
  </si>
  <si>
    <t>KARINA DEL CARMEN</t>
  </si>
  <si>
    <t>MARCANOKB</t>
  </si>
  <si>
    <t>0416-2987100</t>
  </si>
  <si>
    <t>MARCANO ORTA</t>
  </si>
  <si>
    <t>MARIA DEL VALLE</t>
  </si>
  <si>
    <t>14/04/2003</t>
  </si>
  <si>
    <t>MARCANOMW</t>
  </si>
  <si>
    <t>0414-8977788</t>
  </si>
  <si>
    <t>MARTINEZ GUEVARA</t>
  </si>
  <si>
    <t>KARELIS DEL VALLE</t>
  </si>
  <si>
    <t>16/10/2019</t>
  </si>
  <si>
    <t>MARTINEZKF</t>
  </si>
  <si>
    <t>0424-3735355</t>
  </si>
  <si>
    <t>MARTINEZ JIMENEZ</t>
  </si>
  <si>
    <t>DAYVID DEL VALLE</t>
  </si>
  <si>
    <t>31/03/2008</t>
  </si>
  <si>
    <t>MARTINEZDDU</t>
  </si>
  <si>
    <t>0412-4843781</t>
  </si>
  <si>
    <t>MARTINEZ SALAZAR</t>
  </si>
  <si>
    <t>ARMANDO JOSE</t>
  </si>
  <si>
    <t>0424-1710994</t>
  </si>
  <si>
    <t>MEDINA BOLIVAR</t>
  </si>
  <si>
    <t>MARITZA COROMOTO</t>
  </si>
  <si>
    <t>14/09/1998</t>
  </si>
  <si>
    <t>MEDINAMMP</t>
  </si>
  <si>
    <t>0414-3919204</t>
  </si>
  <si>
    <t>ORIENTADOR</t>
  </si>
  <si>
    <t>NAVARRO CAMPOS</t>
  </si>
  <si>
    <t>JENNYFERTT ALEXANDRA</t>
  </si>
  <si>
    <t>0414-0982824</t>
  </si>
  <si>
    <t>NAVARRO GONZALEZ</t>
  </si>
  <si>
    <t>KARINA ANDREA</t>
  </si>
  <si>
    <t>NAVARROKA</t>
  </si>
  <si>
    <t>0412-9455074</t>
  </si>
  <si>
    <t>PATETE MARCHAN</t>
  </si>
  <si>
    <t>ERIKA DEL VALLE</t>
  </si>
  <si>
    <t>03/12/2007</t>
  </si>
  <si>
    <t>PATETEE</t>
  </si>
  <si>
    <t>0414-8783403</t>
  </si>
  <si>
    <t>PEREZ GARCIA</t>
  </si>
  <si>
    <t>NAIRETH CAROLINA</t>
  </si>
  <si>
    <t>0424-9334127</t>
  </si>
  <si>
    <t>PEREZ LARA</t>
  </si>
  <si>
    <t>YRACELYS DEL VALLE</t>
  </si>
  <si>
    <t>PEREZYX</t>
  </si>
  <si>
    <t>0412-4999757</t>
  </si>
  <si>
    <t>PEROZO RAMOS</t>
  </si>
  <si>
    <t>NERUSKA MAYERLING</t>
  </si>
  <si>
    <t>PEROZONV</t>
  </si>
  <si>
    <t>0414-7662944</t>
  </si>
  <si>
    <t>PRADA RIVAS</t>
  </si>
  <si>
    <t>MARIO JOSE</t>
  </si>
  <si>
    <t>PRADAMS</t>
  </si>
  <si>
    <t>0412-0137602</t>
  </si>
  <si>
    <t>RODRIGUEZ GIMON</t>
  </si>
  <si>
    <t>LILIAN NORGALY</t>
  </si>
  <si>
    <t>0426-8934178 0291-6455452</t>
  </si>
  <si>
    <t>RODRIGUEZ MARIN</t>
  </si>
  <si>
    <t>MARIA GABRIELA</t>
  </si>
  <si>
    <t>RODRIGUEZMGZ</t>
  </si>
  <si>
    <t>0424-9335040</t>
  </si>
  <si>
    <t>ROJAS CARABALLO</t>
  </si>
  <si>
    <t>OSWALDO JOSE</t>
  </si>
  <si>
    <t>ROJASOJJ</t>
  </si>
  <si>
    <t>0416-5818522</t>
  </si>
  <si>
    <t>COORDINACIÓN DE CULTURA</t>
  </si>
  <si>
    <t>SIFONTES JIMENES</t>
  </si>
  <si>
    <t>AMARELIS J</t>
  </si>
  <si>
    <t>01/11/2005</t>
  </si>
  <si>
    <t>SIFONTESAN</t>
  </si>
  <si>
    <t>0416-4983486 0424-9221820</t>
  </si>
  <si>
    <t>SMITH DE LUCAS</t>
  </si>
  <si>
    <t>SMITHMG</t>
  </si>
  <si>
    <t>0424-9206699</t>
  </si>
  <si>
    <t>VELASQUEZ RODRIGUEZ</t>
  </si>
  <si>
    <t>ELIMAR MILAGROS</t>
  </si>
  <si>
    <t>07/04/2009</t>
  </si>
  <si>
    <t>VELASQUEZEMX</t>
  </si>
  <si>
    <t>0412-6970988</t>
  </si>
  <si>
    <t>VILLANUEVA TORRES</t>
  </si>
  <si>
    <t>HUMBERTO JOSE</t>
  </si>
  <si>
    <t>0414-7702119</t>
  </si>
  <si>
    <t>YASIVIT DEL VALLE GONZÁLEZ GUISSEPPI</t>
  </si>
  <si>
    <t>SOLICITADO</t>
  </si>
  <si>
    <t>PAGADO</t>
  </si>
  <si>
    <t>PAGANDOLO</t>
  </si>
  <si>
    <t>No</t>
  </si>
  <si>
    <t>LORIANIS ZULLY CELIZ CASTILLO</t>
  </si>
  <si>
    <t>DARWIN JOSÉ CORDERO GALLARDO</t>
  </si>
  <si>
    <t>LUIS LORENZO VÉLIZ MOROCOIMA</t>
  </si>
  <si>
    <t>JUAN ANTONIO CERVANTES BROWN</t>
  </si>
  <si>
    <t>NORKYS KARYNY HERNÁNDEZ MACHUCA</t>
  </si>
  <si>
    <t>YUSMERYS VALDIVIEZO</t>
  </si>
  <si>
    <t>RAÚL ANTONIO RODRIGUEZ DEL NOGAL</t>
  </si>
  <si>
    <t>RANDY PEREZ</t>
  </si>
  <si>
    <t>DANIEL ENRIQUE CEDEÑO ZAPATA</t>
  </si>
  <si>
    <t>CRISTINA DEL CARMEN PIAMO CALZADILLA</t>
  </si>
  <si>
    <t>LUIS ALEJANDRO GUEVARA CABELLO</t>
  </si>
  <si>
    <t>CARLOS GABRIEL MÁRQUEZ SALAZAR</t>
  </si>
  <si>
    <t>MARÍA GABRIELA SMITH DE LUCAS</t>
  </si>
  <si>
    <t>MARIELLYS GONZALES</t>
  </si>
  <si>
    <t>JESÚS AQUILES RIVAS HERNÁNDEZ</t>
  </si>
  <si>
    <t>MANRIQUE MANUEL ALEJANDRO</t>
  </si>
  <si>
    <t>ALEJANDRO JOSÉ RODRÍGUEZ VILLARROEL</t>
  </si>
  <si>
    <t>TERESA CORTEZ</t>
  </si>
  <si>
    <t>JORGE LUIS APONTE SOSA</t>
  </si>
  <si>
    <t>DICKSON CARVAJAL</t>
  </si>
  <si>
    <t>PEDRO LUIS, LIMPIO ALFONZO</t>
  </si>
  <si>
    <t>LUIS ALBERTO SÁNCHEZ BERMÚDEZ</t>
  </si>
  <si>
    <t>EDWIN CHIRINOS</t>
  </si>
  <si>
    <t>MANUEL JOSÉ FIGUEROA LEZAMA</t>
  </si>
  <si>
    <t>JOSÉ RAFAEL GONZÁLEZ IDROGO</t>
  </si>
  <si>
    <t>EYLLING KEYROVICK GONZÁLEZ YANEZ</t>
  </si>
  <si>
    <t>JOSÉ ALY JIMÉNEZ ANGULO</t>
  </si>
  <si>
    <t>JORGE LUIS PÉREZ GUAINA</t>
  </si>
  <si>
    <t>ISBELYS JOSÉ MARCANO BELLO</t>
  </si>
  <si>
    <t>JOANNOLIS HERNÁNDEZ</t>
  </si>
  <si>
    <t>CESAR VELASQUEZ ZABALA</t>
  </si>
  <si>
    <t>JOSÉ VICENTE MILLAN MONTAÑO</t>
  </si>
  <si>
    <t>PABLO DILFREDO BOLIVAR OROZCO</t>
  </si>
  <si>
    <t>EDUARDO JOSÉ VELASQUEZ RODRÍGUEZ</t>
  </si>
  <si>
    <t>LUIS ALFREDO VELÁSQUEZ ALCAZAR</t>
  </si>
  <si>
    <t>YELIS DEL CARMEN HERNANDEZ RODRIGUEZ</t>
  </si>
  <si>
    <t>PEDRO RAMON TINEO PALMA</t>
  </si>
  <si>
    <t>JUAN MANUEL MARTÍNEZ VILLANUEVA</t>
  </si>
  <si>
    <t>JESUS FRANCISCO CLEMENTT BETANCOURT</t>
  </si>
  <si>
    <t>ORLANDO JOSÉ LEON FERMIN</t>
  </si>
  <si>
    <t>Total trabajadores elegibles al PAAV: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</si>
</sst>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"/>
    <numFmt numFmtId="165" formatCode="dd/mm/yyyy"/>
  </numFmts>
  <fonts count="22" x14ac:knownFonts="1">
    <font>
      <sz val="11"/>
      <color theme="1"/>
      <name val="Calibri"/>
      <family val="2"/>
      <scheme val="minor"/>
    </font>
    <font>
      <sz val="10"/>
      <name val="Calibri"/>
      <family val="2"/>
      <charset val="1"/>
    </font>
    <font>
      <b/>
      <sz val="11"/>
      <color indexed="1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charset val="1"/>
    </font>
    <font>
      <b/>
      <sz val="8"/>
      <color rgb="FFFFFFFF"/>
      <name val="Calibri"/>
      <family val="2"/>
      <charset val="1"/>
    </font>
    <font>
      <sz val="8"/>
      <color rgb="FFFFFFFF"/>
      <name val="Calibri"/>
      <family val="2"/>
      <charset val="1"/>
    </font>
    <font>
      <sz val="10"/>
      <color theme="1"/>
      <name val="Arial Unicode MS"/>
      <family val="2"/>
    </font>
    <font>
      <sz val="10"/>
      <color rgb="FF000000"/>
      <name val="Calibri"/>
      <family val="2"/>
      <charset val="1"/>
    </font>
    <font>
      <b/>
      <sz val="11"/>
      <color rgb="FFFF0000"/>
      <name val="Calibri"/>
      <family val="2"/>
    </font>
    <font>
      <b/>
      <sz val="14"/>
      <color rgb="FFFF0000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sz val="11"/>
      <color indexed="8"/>
      <name val="Calibri"/>
      <family val="2"/>
    </font>
    <font>
      <sz val="12"/>
      <name val="Arial"/>
      <family val="2"/>
    </font>
    <font>
      <sz val="12"/>
      <color indexed="8"/>
      <name val="Calibri"/>
      <family val="2"/>
    </font>
    <font>
      <sz val="11"/>
      <name val="Calibri"/>
      <family val="2"/>
    </font>
    <font>
      <sz val="12"/>
      <color indexed="8"/>
      <name val="Arial"/>
      <family val="2"/>
    </font>
    <font>
      <sz val="11"/>
      <color indexed="8"/>
      <name val="Arial"/>
      <family val="2"/>
      <charset val="1"/>
    </font>
    <font>
      <sz val="11"/>
      <color indexed="8"/>
      <name val="Calibri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73394"/>
        <bgColor rgb="FF00336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4" fillId="0" borderId="0"/>
    <xf numFmtId="0" fontId="14" fillId="0" borderId="0"/>
    <xf numFmtId="0" fontId="14" fillId="0" borderId="0"/>
    <xf numFmtId="0" fontId="21" fillId="0" borderId="0"/>
  </cellStyleXfs>
  <cellXfs count="72">
    <xf numFmtId="0" fontId="0" fillId="0" borderId="0" xfId="0"/>
    <xf numFmtId="49" fontId="4" fillId="0" borderId="0" xfId="1" applyNumberFormat="1" applyFont="1" applyFill="1" applyBorder="1" applyAlignment="1" applyProtection="1">
      <alignment horizontal="left"/>
    </xf>
    <xf numFmtId="0" fontId="4" fillId="0" borderId="0" xfId="1" applyFont="1" applyFill="1" applyBorder="1" applyAlignment="1" applyProtection="1"/>
    <xf numFmtId="164" fontId="4" fillId="0" borderId="0" xfId="1" applyNumberFormat="1" applyFont="1" applyFill="1" applyBorder="1" applyAlignment="1" applyProtection="1">
      <alignment horizontal="center"/>
    </xf>
    <xf numFmtId="0" fontId="4" fillId="0" borderId="0" xfId="1" applyFont="1" applyFill="1" applyBorder="1" applyAlignment="1" applyProtection="1">
      <alignment horizontal="center"/>
    </xf>
    <xf numFmtId="1" fontId="4" fillId="0" borderId="0" xfId="1" applyNumberFormat="1" applyFont="1" applyFill="1" applyBorder="1" applyAlignment="1" applyProtection="1">
      <alignment horizontal="center"/>
    </xf>
    <xf numFmtId="0" fontId="4" fillId="0" borderId="0" xfId="1" applyFont="1" applyFill="1" applyBorder="1" applyAlignment="1" applyProtection="1">
      <alignment horizontal="left"/>
    </xf>
    <xf numFmtId="0" fontId="5" fillId="2" borderId="1" xfId="1" applyFont="1" applyFill="1" applyBorder="1" applyAlignment="1" applyProtection="1">
      <alignment horizontal="center" vertical="center" wrapText="1"/>
    </xf>
    <xf numFmtId="1" fontId="5" fillId="2" borderId="1" xfId="1" applyNumberFormat="1" applyFont="1" applyFill="1" applyBorder="1" applyAlignment="1" applyProtection="1">
      <alignment horizontal="center" vertical="center" wrapText="1"/>
    </xf>
    <xf numFmtId="0" fontId="6" fillId="0" borderId="0" xfId="1" applyFont="1" applyFill="1" applyBorder="1" applyAlignment="1" applyProtection="1">
      <alignment horizont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49" fontId="9" fillId="0" borderId="0" xfId="1" applyNumberFormat="1" applyFont="1" applyFill="1" applyBorder="1" applyAlignment="1" applyProtection="1">
      <alignment horizontal="center"/>
    </xf>
    <xf numFmtId="0" fontId="0" fillId="3" borderId="0" xfId="0" applyFill="1"/>
    <xf numFmtId="0" fontId="12" fillId="4" borderId="2" xfId="1" applyNumberFormat="1" applyFont="1" applyFill="1" applyBorder="1" applyAlignment="1" applyProtection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/>
    </xf>
    <xf numFmtId="164" fontId="12" fillId="4" borderId="2" xfId="1" applyNumberFormat="1" applyFont="1" applyFill="1" applyBorder="1" applyAlignment="1" applyProtection="1">
      <alignment horizontal="left"/>
    </xf>
    <xf numFmtId="164" fontId="12" fillId="4" borderId="2" xfId="1" applyNumberFormat="1" applyFont="1" applyFill="1" applyBorder="1" applyAlignment="1" applyProtection="1">
      <alignment horizontal="center"/>
    </xf>
    <xf numFmtId="14" fontId="13" fillId="4" borderId="2" xfId="1" applyNumberFormat="1" applyFont="1" applyFill="1" applyBorder="1" applyAlignment="1" applyProtection="1">
      <alignment horizontal="center" vertical="center"/>
    </xf>
    <xf numFmtId="0" fontId="13" fillId="4" borderId="2" xfId="1" applyFont="1" applyFill="1" applyBorder="1" applyAlignment="1" applyProtection="1">
      <alignment horizontal="center" vertical="center"/>
    </xf>
    <xf numFmtId="1" fontId="12" fillId="4" borderId="2" xfId="1" applyNumberFormat="1" applyFont="1" applyFill="1" applyBorder="1" applyAlignment="1" applyProtection="1">
      <alignment horizontal="center"/>
    </xf>
    <xf numFmtId="49" fontId="12" fillId="4" borderId="2" xfId="1" applyNumberFormat="1" applyFont="1" applyFill="1" applyBorder="1" applyAlignment="1" applyProtection="1">
      <alignment horizontal="center"/>
    </xf>
    <xf numFmtId="0" fontId="12" fillId="0" borderId="2" xfId="1" applyNumberFormat="1" applyFont="1" applyFill="1" applyBorder="1" applyAlignment="1" applyProtection="1">
      <alignment horizontal="center"/>
    </xf>
    <xf numFmtId="49" fontId="12" fillId="0" borderId="2" xfId="1" applyNumberFormat="1" applyFont="1" applyFill="1" applyBorder="1" applyAlignment="1" applyProtection="1">
      <alignment horizontal="center"/>
    </xf>
    <xf numFmtId="164" fontId="12" fillId="0" borderId="2" xfId="1" applyNumberFormat="1" applyFont="1" applyFill="1" applyBorder="1" applyAlignment="1" applyProtection="1">
      <alignment horizontal="left"/>
    </xf>
    <xf numFmtId="164" fontId="12" fillId="0" borderId="2" xfId="1" applyNumberFormat="1" applyFont="1" applyFill="1" applyBorder="1" applyAlignment="1" applyProtection="1">
      <alignment horizontal="center"/>
    </xf>
    <xf numFmtId="14" fontId="13" fillId="0" borderId="2" xfId="1" applyNumberFormat="1" applyFont="1" applyFill="1" applyBorder="1" applyAlignment="1" applyProtection="1">
      <alignment horizontal="center" vertical="center"/>
    </xf>
    <xf numFmtId="0" fontId="13" fillId="0" borderId="2" xfId="1" applyFont="1" applyFill="1" applyBorder="1" applyAlignment="1" applyProtection="1">
      <alignment horizontal="center" vertical="center"/>
    </xf>
    <xf numFmtId="1" fontId="12" fillId="0" borderId="2" xfId="1" applyNumberFormat="1" applyFont="1" applyFill="1" applyBorder="1" applyAlignment="1" applyProtection="1">
      <alignment horizontal="center"/>
    </xf>
    <xf numFmtId="0" fontId="13" fillId="4" borderId="2" xfId="1" applyFont="1" applyFill="1" applyBorder="1" applyAlignment="1" applyProtection="1"/>
    <xf numFmtId="0" fontId="13" fillId="0" borderId="2" xfId="1" applyFont="1" applyFill="1" applyBorder="1" applyAlignment="1" applyProtection="1"/>
    <xf numFmtId="49" fontId="5" fillId="2" borderId="1" xfId="1" applyNumberFormat="1" applyFont="1" applyFill="1" applyBorder="1" applyAlignment="1" applyProtection="1">
      <alignment horizontal="center" vertical="center" wrapText="1"/>
    </xf>
    <xf numFmtId="0" fontId="13" fillId="0" borderId="2" xfId="1" applyFont="1" applyFill="1" applyBorder="1" applyAlignment="1" applyProtection="1">
      <alignment wrapText="1"/>
    </xf>
    <xf numFmtId="0" fontId="0" fillId="5" borderId="0" xfId="0" applyFill="1"/>
    <xf numFmtId="0" fontId="1" fillId="3" borderId="2" xfId="1" applyNumberFormat="1" applyFont="1" applyFill="1" applyBorder="1" applyAlignment="1" applyProtection="1">
      <alignment horizontal="center"/>
    </xf>
    <xf numFmtId="49" fontId="1" fillId="3" borderId="2" xfId="1" applyNumberFormat="1" applyFont="1" applyFill="1" applyBorder="1" applyAlignment="1" applyProtection="1">
      <alignment horizontal="center"/>
    </xf>
    <xf numFmtId="164" fontId="1" fillId="3" borderId="2" xfId="1" applyNumberFormat="1" applyFont="1" applyFill="1" applyBorder="1" applyAlignment="1" applyProtection="1">
      <alignment horizontal="left"/>
    </xf>
    <xf numFmtId="164" fontId="1" fillId="3" borderId="2" xfId="1" applyNumberFormat="1" applyFont="1" applyFill="1" applyBorder="1" applyAlignment="1" applyProtection="1">
      <alignment horizontal="center"/>
    </xf>
    <xf numFmtId="14" fontId="8" fillId="3" borderId="2" xfId="1" applyNumberFormat="1" applyFont="1" applyFill="1" applyBorder="1" applyAlignment="1" applyProtection="1">
      <alignment horizontal="center" vertical="center"/>
    </xf>
    <xf numFmtId="0" fontId="8" fillId="3" borderId="2" xfId="1" applyFont="1" applyFill="1" applyBorder="1" applyAlignment="1" applyProtection="1">
      <alignment horizontal="center" vertical="center"/>
    </xf>
    <xf numFmtId="1" fontId="1" fillId="3" borderId="2" xfId="1" applyNumberFormat="1" applyFont="1" applyFill="1" applyBorder="1" applyAlignment="1" applyProtection="1">
      <alignment horizontal="center"/>
    </xf>
    <xf numFmtId="0" fontId="8" fillId="3" borderId="2" xfId="1" applyFont="1" applyFill="1" applyBorder="1" applyAlignment="1" applyProtection="1"/>
    <xf numFmtId="0" fontId="12" fillId="3" borderId="2" xfId="1" applyNumberFormat="1" applyFont="1" applyFill="1" applyBorder="1" applyAlignment="1" applyProtection="1">
      <alignment horizontal="center"/>
    </xf>
    <xf numFmtId="164" fontId="12" fillId="3" borderId="2" xfId="1" applyNumberFormat="1" applyFont="1" applyFill="1" applyBorder="1" applyAlignment="1" applyProtection="1">
      <alignment horizontal="center" wrapText="1"/>
    </xf>
    <xf numFmtId="0" fontId="14" fillId="0" borderId="0" xfId="2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5" fillId="0" borderId="0" xfId="2" applyFont="1" applyAlignment="1">
      <alignment horizontal="left" vertical="center"/>
    </xf>
    <xf numFmtId="0" fontId="15" fillId="0" borderId="0" xfId="2" applyFont="1"/>
    <xf numFmtId="0" fontId="15" fillId="0" borderId="0" xfId="2" applyFont="1" applyAlignment="1">
      <alignment horizontal="left"/>
    </xf>
    <xf numFmtId="0" fontId="16" fillId="0" borderId="0" xfId="2" applyFont="1" applyAlignment="1">
      <alignment horizontal="center" vertical="center"/>
    </xf>
    <xf numFmtId="0" fontId="14" fillId="0" borderId="0" xfId="2"/>
    <xf numFmtId="0" fontId="14" fillId="0" borderId="0" xfId="2" applyAlignment="1">
      <alignment horizontal="center"/>
    </xf>
    <xf numFmtId="0" fontId="18" fillId="0" borderId="0" xfId="2" applyFont="1" applyAlignment="1">
      <alignment horizontal="center"/>
    </xf>
    <xf numFmtId="165" fontId="15" fillId="0" borderId="0" xfId="2" applyNumberFormat="1" applyFont="1" applyAlignment="1">
      <alignment horizontal="center" vertical="center"/>
    </xf>
    <xf numFmtId="0" fontId="19" fillId="0" borderId="0" xfId="2" applyFont="1" applyAlignment="1">
      <alignment horizontal="center" vertical="center" wrapText="1"/>
    </xf>
    <xf numFmtId="165" fontId="16" fillId="0" borderId="0" xfId="2" applyNumberFormat="1" applyFont="1"/>
    <xf numFmtId="0" fontId="16" fillId="0" borderId="0" xfId="2" applyFont="1" applyAlignment="1">
      <alignment horizontal="center"/>
    </xf>
    <xf numFmtId="37" fontId="14" fillId="0" borderId="0" xfId="2" applyNumberFormat="1" applyAlignment="1">
      <alignment horizontal="center" vertical="center"/>
    </xf>
    <xf numFmtId="37" fontId="17" fillId="0" borderId="0" xfId="3" applyNumberFormat="1" applyFont="1" applyAlignment="1">
      <alignment horizontal="center"/>
    </xf>
    <xf numFmtId="0" fontId="16" fillId="0" borderId="0" xfId="2" applyFont="1"/>
    <xf numFmtId="0" fontId="17" fillId="0" borderId="0" xfId="3" applyNumberFormat="1" applyFont="1" applyAlignment="1">
      <alignment horizontal="center"/>
    </xf>
    <xf numFmtId="0" fontId="20" fillId="0" borderId="3" xfId="2" applyNumberFormat="1" applyFont="1" applyBorder="1" applyAlignment="1">
      <alignment horizontal="center" vertical="center"/>
    </xf>
    <xf numFmtId="0" fontId="14" fillId="0" borderId="0" xfId="2" applyNumberFormat="1" applyAlignment="1">
      <alignment horizontal="center"/>
    </xf>
    <xf numFmtId="0" fontId="17" fillId="0" borderId="0" xfId="4" applyNumberFormat="1" applyFont="1" applyAlignment="1">
      <alignment horizontal="center"/>
    </xf>
    <xf numFmtId="0" fontId="13" fillId="4" borderId="2" xfId="1" applyFont="1" applyFill="1" applyBorder="1" applyAlignment="1" applyProtection="1">
      <alignment horizontal="center"/>
    </xf>
    <xf numFmtId="0" fontId="13" fillId="0" borderId="2" xfId="1" applyFont="1" applyFill="1" applyBorder="1" applyAlignment="1" applyProtection="1">
      <alignment horizontal="center"/>
    </xf>
    <xf numFmtId="49" fontId="10" fillId="0" borderId="0" xfId="1" applyNumberFormat="1" applyFont="1" applyFill="1" applyBorder="1" applyAlignment="1" applyProtection="1">
      <alignment horizontal="center"/>
    </xf>
    <xf numFmtId="49" fontId="3" fillId="0" borderId="0" xfId="1" applyNumberFormat="1" applyFont="1" applyFill="1" applyBorder="1" applyAlignment="1" applyProtection="1">
      <alignment horizontal="left"/>
    </xf>
    <xf numFmtId="0" fontId="11" fillId="0" borderId="0" xfId="0" applyFont="1" applyAlignment="1">
      <alignment horizontal="left"/>
    </xf>
    <xf numFmtId="49" fontId="4" fillId="0" borderId="0" xfId="1" applyNumberFormat="1" applyFont="1" applyFill="1" applyBorder="1" applyAlignment="1" applyProtection="1"/>
    <xf numFmtId="49" fontId="10" fillId="0" borderId="0" xfId="1" applyNumberFormat="1" applyFont="1" applyFill="1" applyBorder="1" applyAlignment="1" applyProtection="1">
      <alignment horizontal="left" vertical="center"/>
    </xf>
  </cellXfs>
  <cellStyles count="5">
    <cellStyle name="20% - Énfasis5 2 4 2 2" xfId="1" xr:uid="{00000000-0005-0000-0000-000000000000}"/>
    <cellStyle name="Normal" xfId="0" builtinId="0"/>
    <cellStyle name="Normal 2" xfId="2" xr:uid="{11F24AC5-F36B-41DE-9527-43585ED4F4C7}"/>
    <cellStyle name="Normal 2 2" xfId="4" xr:uid="{308F0050-FDDE-48EA-9616-EF539A360531}"/>
    <cellStyle name="Normal_Hoja1" xfId="3" xr:uid="{AE1ED8BE-DC3C-4FD3-B5EF-31E5B74B32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pia%20de%202.-%20FORMATO%20ESTATUS%20PAAV%20_%20abril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CIONES"/>
      <sheetName val="GERENCIA  (2)"/>
      <sheetName val="GERENCIA 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97D1-0DBD-43D7-82BF-81DD6A8CD7CA}">
  <dimension ref="A1:R110"/>
  <sheetViews>
    <sheetView view="pageBreakPreview" topLeftCell="A82" zoomScale="63" zoomScaleNormal="62" zoomScaleSheetLayoutView="63" workbookViewId="0">
      <selection activeCell="D130" sqref="D130"/>
    </sheetView>
  </sheetViews>
  <sheetFormatPr baseColWidth="10" defaultColWidth="10.85546875" defaultRowHeight="15.75" x14ac:dyDescent="0.25"/>
  <cols>
    <col min="1" max="1" width="5.7109375" style="52" customWidth="1"/>
    <col min="2" max="2" width="19.85546875" style="51" customWidth="1"/>
    <col min="3" max="3" width="28.28515625" style="51" customWidth="1"/>
    <col min="4" max="4" width="29.140625" style="51" customWidth="1"/>
    <col min="5" max="5" width="28.28515625" style="51" customWidth="1"/>
    <col min="6" max="6" width="16" style="51" customWidth="1"/>
    <col min="7" max="7" width="18.5703125" style="57" customWidth="1"/>
    <col min="8" max="9" width="14" style="57" customWidth="1"/>
    <col min="10" max="11" width="14" style="60" customWidth="1"/>
    <col min="12" max="12" width="10.85546875" style="57"/>
    <col min="13" max="13" width="10.85546875" style="51"/>
    <col min="14" max="14" width="17.7109375" style="51" customWidth="1"/>
    <col min="15" max="15" width="15" style="51" customWidth="1"/>
    <col min="16" max="16" width="33" style="51" customWidth="1"/>
    <col min="17" max="17" width="10.85546875" style="51"/>
    <col min="18" max="18" width="43.140625" style="51" customWidth="1"/>
    <col min="19" max="256" width="10.85546875" style="51"/>
    <col min="257" max="257" width="5.7109375" style="51" customWidth="1"/>
    <col min="258" max="258" width="10.85546875" style="51"/>
    <col min="259" max="259" width="28.28515625" style="51" customWidth="1"/>
    <col min="260" max="260" width="29.140625" style="51" customWidth="1"/>
    <col min="261" max="261" width="28.28515625" style="51" customWidth="1"/>
    <col min="262" max="262" width="16" style="51" customWidth="1"/>
    <col min="263" max="263" width="18.5703125" style="51" customWidth="1"/>
    <col min="264" max="267" width="14" style="51" customWidth="1"/>
    <col min="268" max="269" width="10.85546875" style="51"/>
    <col min="270" max="270" width="17.7109375" style="51" customWidth="1"/>
    <col min="271" max="271" width="15" style="51" customWidth="1"/>
    <col min="272" max="272" width="33" style="51" customWidth="1"/>
    <col min="273" max="273" width="10.85546875" style="51"/>
    <col min="274" max="274" width="43.140625" style="51" customWidth="1"/>
    <col min="275" max="512" width="10.85546875" style="51"/>
    <col min="513" max="513" width="5.7109375" style="51" customWidth="1"/>
    <col min="514" max="514" width="10.85546875" style="51"/>
    <col min="515" max="515" width="28.28515625" style="51" customWidth="1"/>
    <col min="516" max="516" width="29.140625" style="51" customWidth="1"/>
    <col min="517" max="517" width="28.28515625" style="51" customWidth="1"/>
    <col min="518" max="518" width="16" style="51" customWidth="1"/>
    <col min="519" max="519" width="18.5703125" style="51" customWidth="1"/>
    <col min="520" max="523" width="14" style="51" customWidth="1"/>
    <col min="524" max="525" width="10.85546875" style="51"/>
    <col min="526" max="526" width="17.7109375" style="51" customWidth="1"/>
    <col min="527" max="527" width="15" style="51" customWidth="1"/>
    <col min="528" max="528" width="33" style="51" customWidth="1"/>
    <col min="529" max="529" width="10.85546875" style="51"/>
    <col min="530" max="530" width="43.140625" style="51" customWidth="1"/>
    <col min="531" max="768" width="10.85546875" style="51"/>
    <col min="769" max="769" width="5.7109375" style="51" customWidth="1"/>
    <col min="770" max="770" width="10.85546875" style="51"/>
    <col min="771" max="771" width="28.28515625" style="51" customWidth="1"/>
    <col min="772" max="772" width="29.140625" style="51" customWidth="1"/>
    <col min="773" max="773" width="28.28515625" style="51" customWidth="1"/>
    <col min="774" max="774" width="16" style="51" customWidth="1"/>
    <col min="775" max="775" width="18.5703125" style="51" customWidth="1"/>
    <col min="776" max="779" width="14" style="51" customWidth="1"/>
    <col min="780" max="781" width="10.85546875" style="51"/>
    <col min="782" max="782" width="17.7109375" style="51" customWidth="1"/>
    <col min="783" max="783" width="15" style="51" customWidth="1"/>
    <col min="784" max="784" width="33" style="51" customWidth="1"/>
    <col min="785" max="785" width="10.85546875" style="51"/>
    <col min="786" max="786" width="43.140625" style="51" customWidth="1"/>
    <col min="787" max="1024" width="10.85546875" style="51"/>
    <col min="1025" max="1025" width="5.7109375" style="51" customWidth="1"/>
    <col min="1026" max="1026" width="10.85546875" style="51"/>
    <col min="1027" max="1027" width="28.28515625" style="51" customWidth="1"/>
    <col min="1028" max="1028" width="29.140625" style="51" customWidth="1"/>
    <col min="1029" max="1029" width="28.28515625" style="51" customWidth="1"/>
    <col min="1030" max="1030" width="16" style="51" customWidth="1"/>
    <col min="1031" max="1031" width="18.5703125" style="51" customWidth="1"/>
    <col min="1032" max="1035" width="14" style="51" customWidth="1"/>
    <col min="1036" max="1037" width="10.85546875" style="51"/>
    <col min="1038" max="1038" width="17.7109375" style="51" customWidth="1"/>
    <col min="1039" max="1039" width="15" style="51" customWidth="1"/>
    <col min="1040" max="1040" width="33" style="51" customWidth="1"/>
    <col min="1041" max="1041" width="10.85546875" style="51"/>
    <col min="1042" max="1042" width="43.140625" style="51" customWidth="1"/>
    <col min="1043" max="1280" width="10.85546875" style="51"/>
    <col min="1281" max="1281" width="5.7109375" style="51" customWidth="1"/>
    <col min="1282" max="1282" width="10.85546875" style="51"/>
    <col min="1283" max="1283" width="28.28515625" style="51" customWidth="1"/>
    <col min="1284" max="1284" width="29.140625" style="51" customWidth="1"/>
    <col min="1285" max="1285" width="28.28515625" style="51" customWidth="1"/>
    <col min="1286" max="1286" width="16" style="51" customWidth="1"/>
    <col min="1287" max="1287" width="18.5703125" style="51" customWidth="1"/>
    <col min="1288" max="1291" width="14" style="51" customWidth="1"/>
    <col min="1292" max="1293" width="10.85546875" style="51"/>
    <col min="1294" max="1294" width="17.7109375" style="51" customWidth="1"/>
    <col min="1295" max="1295" width="15" style="51" customWidth="1"/>
    <col min="1296" max="1296" width="33" style="51" customWidth="1"/>
    <col min="1297" max="1297" width="10.85546875" style="51"/>
    <col min="1298" max="1298" width="43.140625" style="51" customWidth="1"/>
    <col min="1299" max="1536" width="10.85546875" style="51"/>
    <col min="1537" max="1537" width="5.7109375" style="51" customWidth="1"/>
    <col min="1538" max="1538" width="10.85546875" style="51"/>
    <col min="1539" max="1539" width="28.28515625" style="51" customWidth="1"/>
    <col min="1540" max="1540" width="29.140625" style="51" customWidth="1"/>
    <col min="1541" max="1541" width="28.28515625" style="51" customWidth="1"/>
    <col min="1542" max="1542" width="16" style="51" customWidth="1"/>
    <col min="1543" max="1543" width="18.5703125" style="51" customWidth="1"/>
    <col min="1544" max="1547" width="14" style="51" customWidth="1"/>
    <col min="1548" max="1549" width="10.85546875" style="51"/>
    <col min="1550" max="1550" width="17.7109375" style="51" customWidth="1"/>
    <col min="1551" max="1551" width="15" style="51" customWidth="1"/>
    <col min="1552" max="1552" width="33" style="51" customWidth="1"/>
    <col min="1553" max="1553" width="10.85546875" style="51"/>
    <col min="1554" max="1554" width="43.140625" style="51" customWidth="1"/>
    <col min="1555" max="1792" width="10.85546875" style="51"/>
    <col min="1793" max="1793" width="5.7109375" style="51" customWidth="1"/>
    <col min="1794" max="1794" width="10.85546875" style="51"/>
    <col min="1795" max="1795" width="28.28515625" style="51" customWidth="1"/>
    <col min="1796" max="1796" width="29.140625" style="51" customWidth="1"/>
    <col min="1797" max="1797" width="28.28515625" style="51" customWidth="1"/>
    <col min="1798" max="1798" width="16" style="51" customWidth="1"/>
    <col min="1799" max="1799" width="18.5703125" style="51" customWidth="1"/>
    <col min="1800" max="1803" width="14" style="51" customWidth="1"/>
    <col min="1804" max="1805" width="10.85546875" style="51"/>
    <col min="1806" max="1806" width="17.7109375" style="51" customWidth="1"/>
    <col min="1807" max="1807" width="15" style="51" customWidth="1"/>
    <col min="1808" max="1808" width="33" style="51" customWidth="1"/>
    <col min="1809" max="1809" width="10.85546875" style="51"/>
    <col min="1810" max="1810" width="43.140625" style="51" customWidth="1"/>
    <col min="1811" max="2048" width="10.85546875" style="51"/>
    <col min="2049" max="2049" width="5.7109375" style="51" customWidth="1"/>
    <col min="2050" max="2050" width="10.85546875" style="51"/>
    <col min="2051" max="2051" width="28.28515625" style="51" customWidth="1"/>
    <col min="2052" max="2052" width="29.140625" style="51" customWidth="1"/>
    <col min="2053" max="2053" width="28.28515625" style="51" customWidth="1"/>
    <col min="2054" max="2054" width="16" style="51" customWidth="1"/>
    <col min="2055" max="2055" width="18.5703125" style="51" customWidth="1"/>
    <col min="2056" max="2059" width="14" style="51" customWidth="1"/>
    <col min="2060" max="2061" width="10.85546875" style="51"/>
    <col min="2062" max="2062" width="17.7109375" style="51" customWidth="1"/>
    <col min="2063" max="2063" width="15" style="51" customWidth="1"/>
    <col min="2064" max="2064" width="33" style="51" customWidth="1"/>
    <col min="2065" max="2065" width="10.85546875" style="51"/>
    <col min="2066" max="2066" width="43.140625" style="51" customWidth="1"/>
    <col min="2067" max="2304" width="10.85546875" style="51"/>
    <col min="2305" max="2305" width="5.7109375" style="51" customWidth="1"/>
    <col min="2306" max="2306" width="10.85546875" style="51"/>
    <col min="2307" max="2307" width="28.28515625" style="51" customWidth="1"/>
    <col min="2308" max="2308" width="29.140625" style="51" customWidth="1"/>
    <col min="2309" max="2309" width="28.28515625" style="51" customWidth="1"/>
    <col min="2310" max="2310" width="16" style="51" customWidth="1"/>
    <col min="2311" max="2311" width="18.5703125" style="51" customWidth="1"/>
    <col min="2312" max="2315" width="14" style="51" customWidth="1"/>
    <col min="2316" max="2317" width="10.85546875" style="51"/>
    <col min="2318" max="2318" width="17.7109375" style="51" customWidth="1"/>
    <col min="2319" max="2319" width="15" style="51" customWidth="1"/>
    <col min="2320" max="2320" width="33" style="51" customWidth="1"/>
    <col min="2321" max="2321" width="10.85546875" style="51"/>
    <col min="2322" max="2322" width="43.140625" style="51" customWidth="1"/>
    <col min="2323" max="2560" width="10.85546875" style="51"/>
    <col min="2561" max="2561" width="5.7109375" style="51" customWidth="1"/>
    <col min="2562" max="2562" width="10.85546875" style="51"/>
    <col min="2563" max="2563" width="28.28515625" style="51" customWidth="1"/>
    <col min="2564" max="2564" width="29.140625" style="51" customWidth="1"/>
    <col min="2565" max="2565" width="28.28515625" style="51" customWidth="1"/>
    <col min="2566" max="2566" width="16" style="51" customWidth="1"/>
    <col min="2567" max="2567" width="18.5703125" style="51" customWidth="1"/>
    <col min="2568" max="2571" width="14" style="51" customWidth="1"/>
    <col min="2572" max="2573" width="10.85546875" style="51"/>
    <col min="2574" max="2574" width="17.7109375" style="51" customWidth="1"/>
    <col min="2575" max="2575" width="15" style="51" customWidth="1"/>
    <col min="2576" max="2576" width="33" style="51" customWidth="1"/>
    <col min="2577" max="2577" width="10.85546875" style="51"/>
    <col min="2578" max="2578" width="43.140625" style="51" customWidth="1"/>
    <col min="2579" max="2816" width="10.85546875" style="51"/>
    <col min="2817" max="2817" width="5.7109375" style="51" customWidth="1"/>
    <col min="2818" max="2818" width="10.85546875" style="51"/>
    <col min="2819" max="2819" width="28.28515625" style="51" customWidth="1"/>
    <col min="2820" max="2820" width="29.140625" style="51" customWidth="1"/>
    <col min="2821" max="2821" width="28.28515625" style="51" customWidth="1"/>
    <col min="2822" max="2822" width="16" style="51" customWidth="1"/>
    <col min="2823" max="2823" width="18.5703125" style="51" customWidth="1"/>
    <col min="2824" max="2827" width="14" style="51" customWidth="1"/>
    <col min="2828" max="2829" width="10.85546875" style="51"/>
    <col min="2830" max="2830" width="17.7109375" style="51" customWidth="1"/>
    <col min="2831" max="2831" width="15" style="51" customWidth="1"/>
    <col min="2832" max="2832" width="33" style="51" customWidth="1"/>
    <col min="2833" max="2833" width="10.85546875" style="51"/>
    <col min="2834" max="2834" width="43.140625" style="51" customWidth="1"/>
    <col min="2835" max="3072" width="10.85546875" style="51"/>
    <col min="3073" max="3073" width="5.7109375" style="51" customWidth="1"/>
    <col min="3074" max="3074" width="10.85546875" style="51"/>
    <col min="3075" max="3075" width="28.28515625" style="51" customWidth="1"/>
    <col min="3076" max="3076" width="29.140625" style="51" customWidth="1"/>
    <col min="3077" max="3077" width="28.28515625" style="51" customWidth="1"/>
    <col min="3078" max="3078" width="16" style="51" customWidth="1"/>
    <col min="3079" max="3079" width="18.5703125" style="51" customWidth="1"/>
    <col min="3080" max="3083" width="14" style="51" customWidth="1"/>
    <col min="3084" max="3085" width="10.85546875" style="51"/>
    <col min="3086" max="3086" width="17.7109375" style="51" customWidth="1"/>
    <col min="3087" max="3087" width="15" style="51" customWidth="1"/>
    <col min="3088" max="3088" width="33" style="51" customWidth="1"/>
    <col min="3089" max="3089" width="10.85546875" style="51"/>
    <col min="3090" max="3090" width="43.140625" style="51" customWidth="1"/>
    <col min="3091" max="3328" width="10.85546875" style="51"/>
    <col min="3329" max="3329" width="5.7109375" style="51" customWidth="1"/>
    <col min="3330" max="3330" width="10.85546875" style="51"/>
    <col min="3331" max="3331" width="28.28515625" style="51" customWidth="1"/>
    <col min="3332" max="3332" width="29.140625" style="51" customWidth="1"/>
    <col min="3333" max="3333" width="28.28515625" style="51" customWidth="1"/>
    <col min="3334" max="3334" width="16" style="51" customWidth="1"/>
    <col min="3335" max="3335" width="18.5703125" style="51" customWidth="1"/>
    <col min="3336" max="3339" width="14" style="51" customWidth="1"/>
    <col min="3340" max="3341" width="10.85546875" style="51"/>
    <col min="3342" max="3342" width="17.7109375" style="51" customWidth="1"/>
    <col min="3343" max="3343" width="15" style="51" customWidth="1"/>
    <col min="3344" max="3344" width="33" style="51" customWidth="1"/>
    <col min="3345" max="3345" width="10.85546875" style="51"/>
    <col min="3346" max="3346" width="43.140625" style="51" customWidth="1"/>
    <col min="3347" max="3584" width="10.85546875" style="51"/>
    <col min="3585" max="3585" width="5.7109375" style="51" customWidth="1"/>
    <col min="3586" max="3586" width="10.85546875" style="51"/>
    <col min="3587" max="3587" width="28.28515625" style="51" customWidth="1"/>
    <col min="3588" max="3588" width="29.140625" style="51" customWidth="1"/>
    <col min="3589" max="3589" width="28.28515625" style="51" customWidth="1"/>
    <col min="3590" max="3590" width="16" style="51" customWidth="1"/>
    <col min="3591" max="3591" width="18.5703125" style="51" customWidth="1"/>
    <col min="3592" max="3595" width="14" style="51" customWidth="1"/>
    <col min="3596" max="3597" width="10.85546875" style="51"/>
    <col min="3598" max="3598" width="17.7109375" style="51" customWidth="1"/>
    <col min="3599" max="3599" width="15" style="51" customWidth="1"/>
    <col min="3600" max="3600" width="33" style="51" customWidth="1"/>
    <col min="3601" max="3601" width="10.85546875" style="51"/>
    <col min="3602" max="3602" width="43.140625" style="51" customWidth="1"/>
    <col min="3603" max="3840" width="10.85546875" style="51"/>
    <col min="3841" max="3841" width="5.7109375" style="51" customWidth="1"/>
    <col min="3842" max="3842" width="10.85546875" style="51"/>
    <col min="3843" max="3843" width="28.28515625" style="51" customWidth="1"/>
    <col min="3844" max="3844" width="29.140625" style="51" customWidth="1"/>
    <col min="3845" max="3845" width="28.28515625" style="51" customWidth="1"/>
    <col min="3846" max="3846" width="16" style="51" customWidth="1"/>
    <col min="3847" max="3847" width="18.5703125" style="51" customWidth="1"/>
    <col min="3848" max="3851" width="14" style="51" customWidth="1"/>
    <col min="3852" max="3853" width="10.85546875" style="51"/>
    <col min="3854" max="3854" width="17.7109375" style="51" customWidth="1"/>
    <col min="3855" max="3855" width="15" style="51" customWidth="1"/>
    <col min="3856" max="3856" width="33" style="51" customWidth="1"/>
    <col min="3857" max="3857" width="10.85546875" style="51"/>
    <col min="3858" max="3858" width="43.140625" style="51" customWidth="1"/>
    <col min="3859" max="4096" width="10.85546875" style="51"/>
    <col min="4097" max="4097" width="5.7109375" style="51" customWidth="1"/>
    <col min="4098" max="4098" width="10.85546875" style="51"/>
    <col min="4099" max="4099" width="28.28515625" style="51" customWidth="1"/>
    <col min="4100" max="4100" width="29.140625" style="51" customWidth="1"/>
    <col min="4101" max="4101" width="28.28515625" style="51" customWidth="1"/>
    <col min="4102" max="4102" width="16" style="51" customWidth="1"/>
    <col min="4103" max="4103" width="18.5703125" style="51" customWidth="1"/>
    <col min="4104" max="4107" width="14" style="51" customWidth="1"/>
    <col min="4108" max="4109" width="10.85546875" style="51"/>
    <col min="4110" max="4110" width="17.7109375" style="51" customWidth="1"/>
    <col min="4111" max="4111" width="15" style="51" customWidth="1"/>
    <col min="4112" max="4112" width="33" style="51" customWidth="1"/>
    <col min="4113" max="4113" width="10.85546875" style="51"/>
    <col min="4114" max="4114" width="43.140625" style="51" customWidth="1"/>
    <col min="4115" max="4352" width="10.85546875" style="51"/>
    <col min="4353" max="4353" width="5.7109375" style="51" customWidth="1"/>
    <col min="4354" max="4354" width="10.85546875" style="51"/>
    <col min="4355" max="4355" width="28.28515625" style="51" customWidth="1"/>
    <col min="4356" max="4356" width="29.140625" style="51" customWidth="1"/>
    <col min="4357" max="4357" width="28.28515625" style="51" customWidth="1"/>
    <col min="4358" max="4358" width="16" style="51" customWidth="1"/>
    <col min="4359" max="4359" width="18.5703125" style="51" customWidth="1"/>
    <col min="4360" max="4363" width="14" style="51" customWidth="1"/>
    <col min="4364" max="4365" width="10.85546875" style="51"/>
    <col min="4366" max="4366" width="17.7109375" style="51" customWidth="1"/>
    <col min="4367" max="4367" width="15" style="51" customWidth="1"/>
    <col min="4368" max="4368" width="33" style="51" customWidth="1"/>
    <col min="4369" max="4369" width="10.85546875" style="51"/>
    <col min="4370" max="4370" width="43.140625" style="51" customWidth="1"/>
    <col min="4371" max="4608" width="10.85546875" style="51"/>
    <col min="4609" max="4609" width="5.7109375" style="51" customWidth="1"/>
    <col min="4610" max="4610" width="10.85546875" style="51"/>
    <col min="4611" max="4611" width="28.28515625" style="51" customWidth="1"/>
    <col min="4612" max="4612" width="29.140625" style="51" customWidth="1"/>
    <col min="4613" max="4613" width="28.28515625" style="51" customWidth="1"/>
    <col min="4614" max="4614" width="16" style="51" customWidth="1"/>
    <col min="4615" max="4615" width="18.5703125" style="51" customWidth="1"/>
    <col min="4616" max="4619" width="14" style="51" customWidth="1"/>
    <col min="4620" max="4621" width="10.85546875" style="51"/>
    <col min="4622" max="4622" width="17.7109375" style="51" customWidth="1"/>
    <col min="4623" max="4623" width="15" style="51" customWidth="1"/>
    <col min="4624" max="4624" width="33" style="51" customWidth="1"/>
    <col min="4625" max="4625" width="10.85546875" style="51"/>
    <col min="4626" max="4626" width="43.140625" style="51" customWidth="1"/>
    <col min="4627" max="4864" width="10.85546875" style="51"/>
    <col min="4865" max="4865" width="5.7109375" style="51" customWidth="1"/>
    <col min="4866" max="4866" width="10.85546875" style="51"/>
    <col min="4867" max="4867" width="28.28515625" style="51" customWidth="1"/>
    <col min="4868" max="4868" width="29.140625" style="51" customWidth="1"/>
    <col min="4869" max="4869" width="28.28515625" style="51" customWidth="1"/>
    <col min="4870" max="4870" width="16" style="51" customWidth="1"/>
    <col min="4871" max="4871" width="18.5703125" style="51" customWidth="1"/>
    <col min="4872" max="4875" width="14" style="51" customWidth="1"/>
    <col min="4876" max="4877" width="10.85546875" style="51"/>
    <col min="4878" max="4878" width="17.7109375" style="51" customWidth="1"/>
    <col min="4879" max="4879" width="15" style="51" customWidth="1"/>
    <col min="4880" max="4880" width="33" style="51" customWidth="1"/>
    <col min="4881" max="4881" width="10.85546875" style="51"/>
    <col min="4882" max="4882" width="43.140625" style="51" customWidth="1"/>
    <col min="4883" max="5120" width="10.85546875" style="51"/>
    <col min="5121" max="5121" width="5.7109375" style="51" customWidth="1"/>
    <col min="5122" max="5122" width="10.85546875" style="51"/>
    <col min="5123" max="5123" width="28.28515625" style="51" customWidth="1"/>
    <col min="5124" max="5124" width="29.140625" style="51" customWidth="1"/>
    <col min="5125" max="5125" width="28.28515625" style="51" customWidth="1"/>
    <col min="5126" max="5126" width="16" style="51" customWidth="1"/>
    <col min="5127" max="5127" width="18.5703125" style="51" customWidth="1"/>
    <col min="5128" max="5131" width="14" style="51" customWidth="1"/>
    <col min="5132" max="5133" width="10.85546875" style="51"/>
    <col min="5134" max="5134" width="17.7109375" style="51" customWidth="1"/>
    <col min="5135" max="5135" width="15" style="51" customWidth="1"/>
    <col min="5136" max="5136" width="33" style="51" customWidth="1"/>
    <col min="5137" max="5137" width="10.85546875" style="51"/>
    <col min="5138" max="5138" width="43.140625" style="51" customWidth="1"/>
    <col min="5139" max="5376" width="10.85546875" style="51"/>
    <col min="5377" max="5377" width="5.7109375" style="51" customWidth="1"/>
    <col min="5378" max="5378" width="10.85546875" style="51"/>
    <col min="5379" max="5379" width="28.28515625" style="51" customWidth="1"/>
    <col min="5380" max="5380" width="29.140625" style="51" customWidth="1"/>
    <col min="5381" max="5381" width="28.28515625" style="51" customWidth="1"/>
    <col min="5382" max="5382" width="16" style="51" customWidth="1"/>
    <col min="5383" max="5383" width="18.5703125" style="51" customWidth="1"/>
    <col min="5384" max="5387" width="14" style="51" customWidth="1"/>
    <col min="5388" max="5389" width="10.85546875" style="51"/>
    <col min="5390" max="5390" width="17.7109375" style="51" customWidth="1"/>
    <col min="5391" max="5391" width="15" style="51" customWidth="1"/>
    <col min="5392" max="5392" width="33" style="51" customWidth="1"/>
    <col min="5393" max="5393" width="10.85546875" style="51"/>
    <col min="5394" max="5394" width="43.140625" style="51" customWidth="1"/>
    <col min="5395" max="5632" width="10.85546875" style="51"/>
    <col min="5633" max="5633" width="5.7109375" style="51" customWidth="1"/>
    <col min="5634" max="5634" width="10.85546875" style="51"/>
    <col min="5635" max="5635" width="28.28515625" style="51" customWidth="1"/>
    <col min="5636" max="5636" width="29.140625" style="51" customWidth="1"/>
    <col min="5637" max="5637" width="28.28515625" style="51" customWidth="1"/>
    <col min="5638" max="5638" width="16" style="51" customWidth="1"/>
    <col min="5639" max="5639" width="18.5703125" style="51" customWidth="1"/>
    <col min="5640" max="5643" width="14" style="51" customWidth="1"/>
    <col min="5644" max="5645" width="10.85546875" style="51"/>
    <col min="5646" max="5646" width="17.7109375" style="51" customWidth="1"/>
    <col min="5647" max="5647" width="15" style="51" customWidth="1"/>
    <col min="5648" max="5648" width="33" style="51" customWidth="1"/>
    <col min="5649" max="5649" width="10.85546875" style="51"/>
    <col min="5650" max="5650" width="43.140625" style="51" customWidth="1"/>
    <col min="5651" max="5888" width="10.85546875" style="51"/>
    <col min="5889" max="5889" width="5.7109375" style="51" customWidth="1"/>
    <col min="5890" max="5890" width="10.85546875" style="51"/>
    <col min="5891" max="5891" width="28.28515625" style="51" customWidth="1"/>
    <col min="5892" max="5892" width="29.140625" style="51" customWidth="1"/>
    <col min="5893" max="5893" width="28.28515625" style="51" customWidth="1"/>
    <col min="5894" max="5894" width="16" style="51" customWidth="1"/>
    <col min="5895" max="5895" width="18.5703125" style="51" customWidth="1"/>
    <col min="5896" max="5899" width="14" style="51" customWidth="1"/>
    <col min="5900" max="5901" width="10.85546875" style="51"/>
    <col min="5902" max="5902" width="17.7109375" style="51" customWidth="1"/>
    <col min="5903" max="5903" width="15" style="51" customWidth="1"/>
    <col min="5904" max="5904" width="33" style="51" customWidth="1"/>
    <col min="5905" max="5905" width="10.85546875" style="51"/>
    <col min="5906" max="5906" width="43.140625" style="51" customWidth="1"/>
    <col min="5907" max="6144" width="10.85546875" style="51"/>
    <col min="6145" max="6145" width="5.7109375" style="51" customWidth="1"/>
    <col min="6146" max="6146" width="10.85546875" style="51"/>
    <col min="6147" max="6147" width="28.28515625" style="51" customWidth="1"/>
    <col min="6148" max="6148" width="29.140625" style="51" customWidth="1"/>
    <col min="6149" max="6149" width="28.28515625" style="51" customWidth="1"/>
    <col min="6150" max="6150" width="16" style="51" customWidth="1"/>
    <col min="6151" max="6151" width="18.5703125" style="51" customWidth="1"/>
    <col min="6152" max="6155" width="14" style="51" customWidth="1"/>
    <col min="6156" max="6157" width="10.85546875" style="51"/>
    <col min="6158" max="6158" width="17.7109375" style="51" customWidth="1"/>
    <col min="6159" max="6159" width="15" style="51" customWidth="1"/>
    <col min="6160" max="6160" width="33" style="51" customWidth="1"/>
    <col min="6161" max="6161" width="10.85546875" style="51"/>
    <col min="6162" max="6162" width="43.140625" style="51" customWidth="1"/>
    <col min="6163" max="6400" width="10.85546875" style="51"/>
    <col min="6401" max="6401" width="5.7109375" style="51" customWidth="1"/>
    <col min="6402" max="6402" width="10.85546875" style="51"/>
    <col min="6403" max="6403" width="28.28515625" style="51" customWidth="1"/>
    <col min="6404" max="6404" width="29.140625" style="51" customWidth="1"/>
    <col min="6405" max="6405" width="28.28515625" style="51" customWidth="1"/>
    <col min="6406" max="6406" width="16" style="51" customWidth="1"/>
    <col min="6407" max="6407" width="18.5703125" style="51" customWidth="1"/>
    <col min="6408" max="6411" width="14" style="51" customWidth="1"/>
    <col min="6412" max="6413" width="10.85546875" style="51"/>
    <col min="6414" max="6414" width="17.7109375" style="51" customWidth="1"/>
    <col min="6415" max="6415" width="15" style="51" customWidth="1"/>
    <col min="6416" max="6416" width="33" style="51" customWidth="1"/>
    <col min="6417" max="6417" width="10.85546875" style="51"/>
    <col min="6418" max="6418" width="43.140625" style="51" customWidth="1"/>
    <col min="6419" max="6656" width="10.85546875" style="51"/>
    <col min="6657" max="6657" width="5.7109375" style="51" customWidth="1"/>
    <col min="6658" max="6658" width="10.85546875" style="51"/>
    <col min="6659" max="6659" width="28.28515625" style="51" customWidth="1"/>
    <col min="6660" max="6660" width="29.140625" style="51" customWidth="1"/>
    <col min="6661" max="6661" width="28.28515625" style="51" customWidth="1"/>
    <col min="6662" max="6662" width="16" style="51" customWidth="1"/>
    <col min="6663" max="6663" width="18.5703125" style="51" customWidth="1"/>
    <col min="6664" max="6667" width="14" style="51" customWidth="1"/>
    <col min="6668" max="6669" width="10.85546875" style="51"/>
    <col min="6670" max="6670" width="17.7109375" style="51" customWidth="1"/>
    <col min="6671" max="6671" width="15" style="51" customWidth="1"/>
    <col min="6672" max="6672" width="33" style="51" customWidth="1"/>
    <col min="6673" max="6673" width="10.85546875" style="51"/>
    <col min="6674" max="6674" width="43.140625" style="51" customWidth="1"/>
    <col min="6675" max="6912" width="10.85546875" style="51"/>
    <col min="6913" max="6913" width="5.7109375" style="51" customWidth="1"/>
    <col min="6914" max="6914" width="10.85546875" style="51"/>
    <col min="6915" max="6915" width="28.28515625" style="51" customWidth="1"/>
    <col min="6916" max="6916" width="29.140625" style="51" customWidth="1"/>
    <col min="6917" max="6917" width="28.28515625" style="51" customWidth="1"/>
    <col min="6918" max="6918" width="16" style="51" customWidth="1"/>
    <col min="6919" max="6919" width="18.5703125" style="51" customWidth="1"/>
    <col min="6920" max="6923" width="14" style="51" customWidth="1"/>
    <col min="6924" max="6925" width="10.85546875" style="51"/>
    <col min="6926" max="6926" width="17.7109375" style="51" customWidth="1"/>
    <col min="6927" max="6927" width="15" style="51" customWidth="1"/>
    <col min="6928" max="6928" width="33" style="51" customWidth="1"/>
    <col min="6929" max="6929" width="10.85546875" style="51"/>
    <col min="6930" max="6930" width="43.140625" style="51" customWidth="1"/>
    <col min="6931" max="7168" width="10.85546875" style="51"/>
    <col min="7169" max="7169" width="5.7109375" style="51" customWidth="1"/>
    <col min="7170" max="7170" width="10.85546875" style="51"/>
    <col min="7171" max="7171" width="28.28515625" style="51" customWidth="1"/>
    <col min="7172" max="7172" width="29.140625" style="51" customWidth="1"/>
    <col min="7173" max="7173" width="28.28515625" style="51" customWidth="1"/>
    <col min="7174" max="7174" width="16" style="51" customWidth="1"/>
    <col min="7175" max="7175" width="18.5703125" style="51" customWidth="1"/>
    <col min="7176" max="7179" width="14" style="51" customWidth="1"/>
    <col min="7180" max="7181" width="10.85546875" style="51"/>
    <col min="7182" max="7182" width="17.7109375" style="51" customWidth="1"/>
    <col min="7183" max="7183" width="15" style="51" customWidth="1"/>
    <col min="7184" max="7184" width="33" style="51" customWidth="1"/>
    <col min="7185" max="7185" width="10.85546875" style="51"/>
    <col min="7186" max="7186" width="43.140625" style="51" customWidth="1"/>
    <col min="7187" max="7424" width="10.85546875" style="51"/>
    <col min="7425" max="7425" width="5.7109375" style="51" customWidth="1"/>
    <col min="7426" max="7426" width="10.85546875" style="51"/>
    <col min="7427" max="7427" width="28.28515625" style="51" customWidth="1"/>
    <col min="7428" max="7428" width="29.140625" style="51" customWidth="1"/>
    <col min="7429" max="7429" width="28.28515625" style="51" customWidth="1"/>
    <col min="7430" max="7430" width="16" style="51" customWidth="1"/>
    <col min="7431" max="7431" width="18.5703125" style="51" customWidth="1"/>
    <col min="7432" max="7435" width="14" style="51" customWidth="1"/>
    <col min="7436" max="7437" width="10.85546875" style="51"/>
    <col min="7438" max="7438" width="17.7109375" style="51" customWidth="1"/>
    <col min="7439" max="7439" width="15" style="51" customWidth="1"/>
    <col min="7440" max="7440" width="33" style="51" customWidth="1"/>
    <col min="7441" max="7441" width="10.85546875" style="51"/>
    <col min="7442" max="7442" width="43.140625" style="51" customWidth="1"/>
    <col min="7443" max="7680" width="10.85546875" style="51"/>
    <col min="7681" max="7681" width="5.7109375" style="51" customWidth="1"/>
    <col min="7682" max="7682" width="10.85546875" style="51"/>
    <col min="7683" max="7683" width="28.28515625" style="51" customWidth="1"/>
    <col min="7684" max="7684" width="29.140625" style="51" customWidth="1"/>
    <col min="7685" max="7685" width="28.28515625" style="51" customWidth="1"/>
    <col min="7686" max="7686" width="16" style="51" customWidth="1"/>
    <col min="7687" max="7687" width="18.5703125" style="51" customWidth="1"/>
    <col min="7688" max="7691" width="14" style="51" customWidth="1"/>
    <col min="7692" max="7693" width="10.85546875" style="51"/>
    <col min="7694" max="7694" width="17.7109375" style="51" customWidth="1"/>
    <col min="7695" max="7695" width="15" style="51" customWidth="1"/>
    <col min="7696" max="7696" width="33" style="51" customWidth="1"/>
    <col min="7697" max="7697" width="10.85546875" style="51"/>
    <col min="7698" max="7698" width="43.140625" style="51" customWidth="1"/>
    <col min="7699" max="7936" width="10.85546875" style="51"/>
    <col min="7937" max="7937" width="5.7109375" style="51" customWidth="1"/>
    <col min="7938" max="7938" width="10.85546875" style="51"/>
    <col min="7939" max="7939" width="28.28515625" style="51" customWidth="1"/>
    <col min="7940" max="7940" width="29.140625" style="51" customWidth="1"/>
    <col min="7941" max="7941" width="28.28515625" style="51" customWidth="1"/>
    <col min="7942" max="7942" width="16" style="51" customWidth="1"/>
    <col min="7943" max="7943" width="18.5703125" style="51" customWidth="1"/>
    <col min="7944" max="7947" width="14" style="51" customWidth="1"/>
    <col min="7948" max="7949" width="10.85546875" style="51"/>
    <col min="7950" max="7950" width="17.7109375" style="51" customWidth="1"/>
    <col min="7951" max="7951" width="15" style="51" customWidth="1"/>
    <col min="7952" max="7952" width="33" style="51" customWidth="1"/>
    <col min="7953" max="7953" width="10.85546875" style="51"/>
    <col min="7954" max="7954" width="43.140625" style="51" customWidth="1"/>
    <col min="7955" max="8192" width="10.85546875" style="51"/>
    <col min="8193" max="8193" width="5.7109375" style="51" customWidth="1"/>
    <col min="8194" max="8194" width="10.85546875" style="51"/>
    <col min="8195" max="8195" width="28.28515625" style="51" customWidth="1"/>
    <col min="8196" max="8196" width="29.140625" style="51" customWidth="1"/>
    <col min="8197" max="8197" width="28.28515625" style="51" customWidth="1"/>
    <col min="8198" max="8198" width="16" style="51" customWidth="1"/>
    <col min="8199" max="8199" width="18.5703125" style="51" customWidth="1"/>
    <col min="8200" max="8203" width="14" style="51" customWidth="1"/>
    <col min="8204" max="8205" width="10.85546875" style="51"/>
    <col min="8206" max="8206" width="17.7109375" style="51" customWidth="1"/>
    <col min="8207" max="8207" width="15" style="51" customWidth="1"/>
    <col min="8208" max="8208" width="33" style="51" customWidth="1"/>
    <col min="8209" max="8209" width="10.85546875" style="51"/>
    <col min="8210" max="8210" width="43.140625" style="51" customWidth="1"/>
    <col min="8211" max="8448" width="10.85546875" style="51"/>
    <col min="8449" max="8449" width="5.7109375" style="51" customWidth="1"/>
    <col min="8450" max="8450" width="10.85546875" style="51"/>
    <col min="8451" max="8451" width="28.28515625" style="51" customWidth="1"/>
    <col min="8452" max="8452" width="29.140625" style="51" customWidth="1"/>
    <col min="8453" max="8453" width="28.28515625" style="51" customWidth="1"/>
    <col min="8454" max="8454" width="16" style="51" customWidth="1"/>
    <col min="8455" max="8455" width="18.5703125" style="51" customWidth="1"/>
    <col min="8456" max="8459" width="14" style="51" customWidth="1"/>
    <col min="8460" max="8461" width="10.85546875" style="51"/>
    <col min="8462" max="8462" width="17.7109375" style="51" customWidth="1"/>
    <col min="8463" max="8463" width="15" style="51" customWidth="1"/>
    <col min="8464" max="8464" width="33" style="51" customWidth="1"/>
    <col min="8465" max="8465" width="10.85546875" style="51"/>
    <col min="8466" max="8466" width="43.140625" style="51" customWidth="1"/>
    <col min="8467" max="8704" width="10.85546875" style="51"/>
    <col min="8705" max="8705" width="5.7109375" style="51" customWidth="1"/>
    <col min="8706" max="8706" width="10.85546875" style="51"/>
    <col min="8707" max="8707" width="28.28515625" style="51" customWidth="1"/>
    <col min="8708" max="8708" width="29.140625" style="51" customWidth="1"/>
    <col min="8709" max="8709" width="28.28515625" style="51" customWidth="1"/>
    <col min="8710" max="8710" width="16" style="51" customWidth="1"/>
    <col min="8711" max="8711" width="18.5703125" style="51" customWidth="1"/>
    <col min="8712" max="8715" width="14" style="51" customWidth="1"/>
    <col min="8716" max="8717" width="10.85546875" style="51"/>
    <col min="8718" max="8718" width="17.7109375" style="51" customWidth="1"/>
    <col min="8719" max="8719" width="15" style="51" customWidth="1"/>
    <col min="8720" max="8720" width="33" style="51" customWidth="1"/>
    <col min="8721" max="8721" width="10.85546875" style="51"/>
    <col min="8722" max="8722" width="43.140625" style="51" customWidth="1"/>
    <col min="8723" max="8960" width="10.85546875" style="51"/>
    <col min="8961" max="8961" width="5.7109375" style="51" customWidth="1"/>
    <col min="8962" max="8962" width="10.85546875" style="51"/>
    <col min="8963" max="8963" width="28.28515625" style="51" customWidth="1"/>
    <col min="8964" max="8964" width="29.140625" style="51" customWidth="1"/>
    <col min="8965" max="8965" width="28.28515625" style="51" customWidth="1"/>
    <col min="8966" max="8966" width="16" style="51" customWidth="1"/>
    <col min="8967" max="8967" width="18.5703125" style="51" customWidth="1"/>
    <col min="8968" max="8971" width="14" style="51" customWidth="1"/>
    <col min="8972" max="8973" width="10.85546875" style="51"/>
    <col min="8974" max="8974" width="17.7109375" style="51" customWidth="1"/>
    <col min="8975" max="8975" width="15" style="51" customWidth="1"/>
    <col min="8976" max="8976" width="33" style="51" customWidth="1"/>
    <col min="8977" max="8977" width="10.85546875" style="51"/>
    <col min="8978" max="8978" width="43.140625" style="51" customWidth="1"/>
    <col min="8979" max="9216" width="10.85546875" style="51"/>
    <col min="9217" max="9217" width="5.7109375" style="51" customWidth="1"/>
    <col min="9218" max="9218" width="10.85546875" style="51"/>
    <col min="9219" max="9219" width="28.28515625" style="51" customWidth="1"/>
    <col min="9220" max="9220" width="29.140625" style="51" customWidth="1"/>
    <col min="9221" max="9221" width="28.28515625" style="51" customWidth="1"/>
    <col min="9222" max="9222" width="16" style="51" customWidth="1"/>
    <col min="9223" max="9223" width="18.5703125" style="51" customWidth="1"/>
    <col min="9224" max="9227" width="14" style="51" customWidth="1"/>
    <col min="9228" max="9229" width="10.85546875" style="51"/>
    <col min="9230" max="9230" width="17.7109375" style="51" customWidth="1"/>
    <col min="9231" max="9231" width="15" style="51" customWidth="1"/>
    <col min="9232" max="9232" width="33" style="51" customWidth="1"/>
    <col min="9233" max="9233" width="10.85546875" style="51"/>
    <col min="9234" max="9234" width="43.140625" style="51" customWidth="1"/>
    <col min="9235" max="9472" width="10.85546875" style="51"/>
    <col min="9473" max="9473" width="5.7109375" style="51" customWidth="1"/>
    <col min="9474" max="9474" width="10.85546875" style="51"/>
    <col min="9475" max="9475" width="28.28515625" style="51" customWidth="1"/>
    <col min="9476" max="9476" width="29.140625" style="51" customWidth="1"/>
    <col min="9477" max="9477" width="28.28515625" style="51" customWidth="1"/>
    <col min="9478" max="9478" width="16" style="51" customWidth="1"/>
    <col min="9479" max="9479" width="18.5703125" style="51" customWidth="1"/>
    <col min="9480" max="9483" width="14" style="51" customWidth="1"/>
    <col min="9484" max="9485" width="10.85546875" style="51"/>
    <col min="9486" max="9486" width="17.7109375" style="51" customWidth="1"/>
    <col min="9487" max="9487" width="15" style="51" customWidth="1"/>
    <col min="9488" max="9488" width="33" style="51" customWidth="1"/>
    <col min="9489" max="9489" width="10.85546875" style="51"/>
    <col min="9490" max="9490" width="43.140625" style="51" customWidth="1"/>
    <col min="9491" max="9728" width="10.85546875" style="51"/>
    <col min="9729" max="9729" width="5.7109375" style="51" customWidth="1"/>
    <col min="9730" max="9730" width="10.85546875" style="51"/>
    <col min="9731" max="9731" width="28.28515625" style="51" customWidth="1"/>
    <col min="9732" max="9732" width="29.140625" style="51" customWidth="1"/>
    <col min="9733" max="9733" width="28.28515625" style="51" customWidth="1"/>
    <col min="9734" max="9734" width="16" style="51" customWidth="1"/>
    <col min="9735" max="9735" width="18.5703125" style="51" customWidth="1"/>
    <col min="9736" max="9739" width="14" style="51" customWidth="1"/>
    <col min="9740" max="9741" width="10.85546875" style="51"/>
    <col min="9742" max="9742" width="17.7109375" style="51" customWidth="1"/>
    <col min="9743" max="9743" width="15" style="51" customWidth="1"/>
    <col min="9744" max="9744" width="33" style="51" customWidth="1"/>
    <col min="9745" max="9745" width="10.85546875" style="51"/>
    <col min="9746" max="9746" width="43.140625" style="51" customWidth="1"/>
    <col min="9747" max="9984" width="10.85546875" style="51"/>
    <col min="9985" max="9985" width="5.7109375" style="51" customWidth="1"/>
    <col min="9986" max="9986" width="10.85546875" style="51"/>
    <col min="9987" max="9987" width="28.28515625" style="51" customWidth="1"/>
    <col min="9988" max="9988" width="29.140625" style="51" customWidth="1"/>
    <col min="9989" max="9989" width="28.28515625" style="51" customWidth="1"/>
    <col min="9990" max="9990" width="16" style="51" customWidth="1"/>
    <col min="9991" max="9991" width="18.5703125" style="51" customWidth="1"/>
    <col min="9992" max="9995" width="14" style="51" customWidth="1"/>
    <col min="9996" max="9997" width="10.85546875" style="51"/>
    <col min="9998" max="9998" width="17.7109375" style="51" customWidth="1"/>
    <col min="9999" max="9999" width="15" style="51" customWidth="1"/>
    <col min="10000" max="10000" width="33" style="51" customWidth="1"/>
    <col min="10001" max="10001" width="10.85546875" style="51"/>
    <col min="10002" max="10002" width="43.140625" style="51" customWidth="1"/>
    <col min="10003" max="10240" width="10.85546875" style="51"/>
    <col min="10241" max="10241" width="5.7109375" style="51" customWidth="1"/>
    <col min="10242" max="10242" width="10.85546875" style="51"/>
    <col min="10243" max="10243" width="28.28515625" style="51" customWidth="1"/>
    <col min="10244" max="10244" width="29.140625" style="51" customWidth="1"/>
    <col min="10245" max="10245" width="28.28515625" style="51" customWidth="1"/>
    <col min="10246" max="10246" width="16" style="51" customWidth="1"/>
    <col min="10247" max="10247" width="18.5703125" style="51" customWidth="1"/>
    <col min="10248" max="10251" width="14" style="51" customWidth="1"/>
    <col min="10252" max="10253" width="10.85546875" style="51"/>
    <col min="10254" max="10254" width="17.7109375" style="51" customWidth="1"/>
    <col min="10255" max="10255" width="15" style="51" customWidth="1"/>
    <col min="10256" max="10256" width="33" style="51" customWidth="1"/>
    <col min="10257" max="10257" width="10.85546875" style="51"/>
    <col min="10258" max="10258" width="43.140625" style="51" customWidth="1"/>
    <col min="10259" max="10496" width="10.85546875" style="51"/>
    <col min="10497" max="10497" width="5.7109375" style="51" customWidth="1"/>
    <col min="10498" max="10498" width="10.85546875" style="51"/>
    <col min="10499" max="10499" width="28.28515625" style="51" customWidth="1"/>
    <col min="10500" max="10500" width="29.140625" style="51" customWidth="1"/>
    <col min="10501" max="10501" width="28.28515625" style="51" customWidth="1"/>
    <col min="10502" max="10502" width="16" style="51" customWidth="1"/>
    <col min="10503" max="10503" width="18.5703125" style="51" customWidth="1"/>
    <col min="10504" max="10507" width="14" style="51" customWidth="1"/>
    <col min="10508" max="10509" width="10.85546875" style="51"/>
    <col min="10510" max="10510" width="17.7109375" style="51" customWidth="1"/>
    <col min="10511" max="10511" width="15" style="51" customWidth="1"/>
    <col min="10512" max="10512" width="33" style="51" customWidth="1"/>
    <col min="10513" max="10513" width="10.85546875" style="51"/>
    <col min="10514" max="10514" width="43.140625" style="51" customWidth="1"/>
    <col min="10515" max="10752" width="10.85546875" style="51"/>
    <col min="10753" max="10753" width="5.7109375" style="51" customWidth="1"/>
    <col min="10754" max="10754" width="10.85546875" style="51"/>
    <col min="10755" max="10755" width="28.28515625" style="51" customWidth="1"/>
    <col min="10756" max="10756" width="29.140625" style="51" customWidth="1"/>
    <col min="10757" max="10757" width="28.28515625" style="51" customWidth="1"/>
    <col min="10758" max="10758" width="16" style="51" customWidth="1"/>
    <col min="10759" max="10759" width="18.5703125" style="51" customWidth="1"/>
    <col min="10760" max="10763" width="14" style="51" customWidth="1"/>
    <col min="10764" max="10765" width="10.85546875" style="51"/>
    <col min="10766" max="10766" width="17.7109375" style="51" customWidth="1"/>
    <col min="10767" max="10767" width="15" style="51" customWidth="1"/>
    <col min="10768" max="10768" width="33" style="51" customWidth="1"/>
    <col min="10769" max="10769" width="10.85546875" style="51"/>
    <col min="10770" max="10770" width="43.140625" style="51" customWidth="1"/>
    <col min="10771" max="11008" width="10.85546875" style="51"/>
    <col min="11009" max="11009" width="5.7109375" style="51" customWidth="1"/>
    <col min="11010" max="11010" width="10.85546875" style="51"/>
    <col min="11011" max="11011" width="28.28515625" style="51" customWidth="1"/>
    <col min="11012" max="11012" width="29.140625" style="51" customWidth="1"/>
    <col min="11013" max="11013" width="28.28515625" style="51" customWidth="1"/>
    <col min="11014" max="11014" width="16" style="51" customWidth="1"/>
    <col min="11015" max="11015" width="18.5703125" style="51" customWidth="1"/>
    <col min="11016" max="11019" width="14" style="51" customWidth="1"/>
    <col min="11020" max="11021" width="10.85546875" style="51"/>
    <col min="11022" max="11022" width="17.7109375" style="51" customWidth="1"/>
    <col min="11023" max="11023" width="15" style="51" customWidth="1"/>
    <col min="11024" max="11024" width="33" style="51" customWidth="1"/>
    <col min="11025" max="11025" width="10.85546875" style="51"/>
    <col min="11026" max="11026" width="43.140625" style="51" customWidth="1"/>
    <col min="11027" max="11264" width="10.85546875" style="51"/>
    <col min="11265" max="11265" width="5.7109375" style="51" customWidth="1"/>
    <col min="11266" max="11266" width="10.85546875" style="51"/>
    <col min="11267" max="11267" width="28.28515625" style="51" customWidth="1"/>
    <col min="11268" max="11268" width="29.140625" style="51" customWidth="1"/>
    <col min="11269" max="11269" width="28.28515625" style="51" customWidth="1"/>
    <col min="11270" max="11270" width="16" style="51" customWidth="1"/>
    <col min="11271" max="11271" width="18.5703125" style="51" customWidth="1"/>
    <col min="11272" max="11275" width="14" style="51" customWidth="1"/>
    <col min="11276" max="11277" width="10.85546875" style="51"/>
    <col min="11278" max="11278" width="17.7109375" style="51" customWidth="1"/>
    <col min="11279" max="11279" width="15" style="51" customWidth="1"/>
    <col min="11280" max="11280" width="33" style="51" customWidth="1"/>
    <col min="11281" max="11281" width="10.85546875" style="51"/>
    <col min="11282" max="11282" width="43.140625" style="51" customWidth="1"/>
    <col min="11283" max="11520" width="10.85546875" style="51"/>
    <col min="11521" max="11521" width="5.7109375" style="51" customWidth="1"/>
    <col min="11522" max="11522" width="10.85546875" style="51"/>
    <col min="11523" max="11523" width="28.28515625" style="51" customWidth="1"/>
    <col min="11524" max="11524" width="29.140625" style="51" customWidth="1"/>
    <col min="11525" max="11525" width="28.28515625" style="51" customWidth="1"/>
    <col min="11526" max="11526" width="16" style="51" customWidth="1"/>
    <col min="11527" max="11527" width="18.5703125" style="51" customWidth="1"/>
    <col min="11528" max="11531" width="14" style="51" customWidth="1"/>
    <col min="11532" max="11533" width="10.85546875" style="51"/>
    <col min="11534" max="11534" width="17.7109375" style="51" customWidth="1"/>
    <col min="11535" max="11535" width="15" style="51" customWidth="1"/>
    <col min="11536" max="11536" width="33" style="51" customWidth="1"/>
    <col min="11537" max="11537" width="10.85546875" style="51"/>
    <col min="11538" max="11538" width="43.140625" style="51" customWidth="1"/>
    <col min="11539" max="11776" width="10.85546875" style="51"/>
    <col min="11777" max="11777" width="5.7109375" style="51" customWidth="1"/>
    <col min="11778" max="11778" width="10.85546875" style="51"/>
    <col min="11779" max="11779" width="28.28515625" style="51" customWidth="1"/>
    <col min="11780" max="11780" width="29.140625" style="51" customWidth="1"/>
    <col min="11781" max="11781" width="28.28515625" style="51" customWidth="1"/>
    <col min="11782" max="11782" width="16" style="51" customWidth="1"/>
    <col min="11783" max="11783" width="18.5703125" style="51" customWidth="1"/>
    <col min="11784" max="11787" width="14" style="51" customWidth="1"/>
    <col min="11788" max="11789" width="10.85546875" style="51"/>
    <col min="11790" max="11790" width="17.7109375" style="51" customWidth="1"/>
    <col min="11791" max="11791" width="15" style="51" customWidth="1"/>
    <col min="11792" max="11792" width="33" style="51" customWidth="1"/>
    <col min="11793" max="11793" width="10.85546875" style="51"/>
    <col min="11794" max="11794" width="43.140625" style="51" customWidth="1"/>
    <col min="11795" max="12032" width="10.85546875" style="51"/>
    <col min="12033" max="12033" width="5.7109375" style="51" customWidth="1"/>
    <col min="12034" max="12034" width="10.85546875" style="51"/>
    <col min="12035" max="12035" width="28.28515625" style="51" customWidth="1"/>
    <col min="12036" max="12036" width="29.140625" style="51" customWidth="1"/>
    <col min="12037" max="12037" width="28.28515625" style="51" customWidth="1"/>
    <col min="12038" max="12038" width="16" style="51" customWidth="1"/>
    <col min="12039" max="12039" width="18.5703125" style="51" customWidth="1"/>
    <col min="12040" max="12043" width="14" style="51" customWidth="1"/>
    <col min="12044" max="12045" width="10.85546875" style="51"/>
    <col min="12046" max="12046" width="17.7109375" style="51" customWidth="1"/>
    <col min="12047" max="12047" width="15" style="51" customWidth="1"/>
    <col min="12048" max="12048" width="33" style="51" customWidth="1"/>
    <col min="12049" max="12049" width="10.85546875" style="51"/>
    <col min="12050" max="12050" width="43.140625" style="51" customWidth="1"/>
    <col min="12051" max="12288" width="10.85546875" style="51"/>
    <col min="12289" max="12289" width="5.7109375" style="51" customWidth="1"/>
    <col min="12290" max="12290" width="10.85546875" style="51"/>
    <col min="12291" max="12291" width="28.28515625" style="51" customWidth="1"/>
    <col min="12292" max="12292" width="29.140625" style="51" customWidth="1"/>
    <col min="12293" max="12293" width="28.28515625" style="51" customWidth="1"/>
    <col min="12294" max="12294" width="16" style="51" customWidth="1"/>
    <col min="12295" max="12295" width="18.5703125" style="51" customWidth="1"/>
    <col min="12296" max="12299" width="14" style="51" customWidth="1"/>
    <col min="12300" max="12301" width="10.85546875" style="51"/>
    <col min="12302" max="12302" width="17.7109375" style="51" customWidth="1"/>
    <col min="12303" max="12303" width="15" style="51" customWidth="1"/>
    <col min="12304" max="12304" width="33" style="51" customWidth="1"/>
    <col min="12305" max="12305" width="10.85546875" style="51"/>
    <col min="12306" max="12306" width="43.140625" style="51" customWidth="1"/>
    <col min="12307" max="12544" width="10.85546875" style="51"/>
    <col min="12545" max="12545" width="5.7109375" style="51" customWidth="1"/>
    <col min="12546" max="12546" width="10.85546875" style="51"/>
    <col min="12547" max="12547" width="28.28515625" style="51" customWidth="1"/>
    <col min="12548" max="12548" width="29.140625" style="51" customWidth="1"/>
    <col min="12549" max="12549" width="28.28515625" style="51" customWidth="1"/>
    <col min="12550" max="12550" width="16" style="51" customWidth="1"/>
    <col min="12551" max="12551" width="18.5703125" style="51" customWidth="1"/>
    <col min="12552" max="12555" width="14" style="51" customWidth="1"/>
    <col min="12556" max="12557" width="10.85546875" style="51"/>
    <col min="12558" max="12558" width="17.7109375" style="51" customWidth="1"/>
    <col min="12559" max="12559" width="15" style="51" customWidth="1"/>
    <col min="12560" max="12560" width="33" style="51" customWidth="1"/>
    <col min="12561" max="12561" width="10.85546875" style="51"/>
    <col min="12562" max="12562" width="43.140625" style="51" customWidth="1"/>
    <col min="12563" max="12800" width="10.85546875" style="51"/>
    <col min="12801" max="12801" width="5.7109375" style="51" customWidth="1"/>
    <col min="12802" max="12802" width="10.85546875" style="51"/>
    <col min="12803" max="12803" width="28.28515625" style="51" customWidth="1"/>
    <col min="12804" max="12804" width="29.140625" style="51" customWidth="1"/>
    <col min="12805" max="12805" width="28.28515625" style="51" customWidth="1"/>
    <col min="12806" max="12806" width="16" style="51" customWidth="1"/>
    <col min="12807" max="12807" width="18.5703125" style="51" customWidth="1"/>
    <col min="12808" max="12811" width="14" style="51" customWidth="1"/>
    <col min="12812" max="12813" width="10.85546875" style="51"/>
    <col min="12814" max="12814" width="17.7109375" style="51" customWidth="1"/>
    <col min="12815" max="12815" width="15" style="51" customWidth="1"/>
    <col min="12816" max="12816" width="33" style="51" customWidth="1"/>
    <col min="12817" max="12817" width="10.85546875" style="51"/>
    <col min="12818" max="12818" width="43.140625" style="51" customWidth="1"/>
    <col min="12819" max="13056" width="10.85546875" style="51"/>
    <col min="13057" max="13057" width="5.7109375" style="51" customWidth="1"/>
    <col min="13058" max="13058" width="10.85546875" style="51"/>
    <col min="13059" max="13059" width="28.28515625" style="51" customWidth="1"/>
    <col min="13060" max="13060" width="29.140625" style="51" customWidth="1"/>
    <col min="13061" max="13061" width="28.28515625" style="51" customWidth="1"/>
    <col min="13062" max="13062" width="16" style="51" customWidth="1"/>
    <col min="13063" max="13063" width="18.5703125" style="51" customWidth="1"/>
    <col min="13064" max="13067" width="14" style="51" customWidth="1"/>
    <col min="13068" max="13069" width="10.85546875" style="51"/>
    <col min="13070" max="13070" width="17.7109375" style="51" customWidth="1"/>
    <col min="13071" max="13071" width="15" style="51" customWidth="1"/>
    <col min="13072" max="13072" width="33" style="51" customWidth="1"/>
    <col min="13073" max="13073" width="10.85546875" style="51"/>
    <col min="13074" max="13074" width="43.140625" style="51" customWidth="1"/>
    <col min="13075" max="13312" width="10.85546875" style="51"/>
    <col min="13313" max="13313" width="5.7109375" style="51" customWidth="1"/>
    <col min="13314" max="13314" width="10.85546875" style="51"/>
    <col min="13315" max="13315" width="28.28515625" style="51" customWidth="1"/>
    <col min="13316" max="13316" width="29.140625" style="51" customWidth="1"/>
    <col min="13317" max="13317" width="28.28515625" style="51" customWidth="1"/>
    <col min="13318" max="13318" width="16" style="51" customWidth="1"/>
    <col min="13319" max="13319" width="18.5703125" style="51" customWidth="1"/>
    <col min="13320" max="13323" width="14" style="51" customWidth="1"/>
    <col min="13324" max="13325" width="10.85546875" style="51"/>
    <col min="13326" max="13326" width="17.7109375" style="51" customWidth="1"/>
    <col min="13327" max="13327" width="15" style="51" customWidth="1"/>
    <col min="13328" max="13328" width="33" style="51" customWidth="1"/>
    <col min="13329" max="13329" width="10.85546875" style="51"/>
    <col min="13330" max="13330" width="43.140625" style="51" customWidth="1"/>
    <col min="13331" max="13568" width="10.85546875" style="51"/>
    <col min="13569" max="13569" width="5.7109375" style="51" customWidth="1"/>
    <col min="13570" max="13570" width="10.85546875" style="51"/>
    <col min="13571" max="13571" width="28.28515625" style="51" customWidth="1"/>
    <col min="13572" max="13572" width="29.140625" style="51" customWidth="1"/>
    <col min="13573" max="13573" width="28.28515625" style="51" customWidth="1"/>
    <col min="13574" max="13574" width="16" style="51" customWidth="1"/>
    <col min="13575" max="13575" width="18.5703125" style="51" customWidth="1"/>
    <col min="13576" max="13579" width="14" style="51" customWidth="1"/>
    <col min="13580" max="13581" width="10.85546875" style="51"/>
    <col min="13582" max="13582" width="17.7109375" style="51" customWidth="1"/>
    <col min="13583" max="13583" width="15" style="51" customWidth="1"/>
    <col min="13584" max="13584" width="33" style="51" customWidth="1"/>
    <col min="13585" max="13585" width="10.85546875" style="51"/>
    <col min="13586" max="13586" width="43.140625" style="51" customWidth="1"/>
    <col min="13587" max="13824" width="10.85546875" style="51"/>
    <col min="13825" max="13825" width="5.7109375" style="51" customWidth="1"/>
    <col min="13826" max="13826" width="10.85546875" style="51"/>
    <col min="13827" max="13827" width="28.28515625" style="51" customWidth="1"/>
    <col min="13828" max="13828" width="29.140625" style="51" customWidth="1"/>
    <col min="13829" max="13829" width="28.28515625" style="51" customWidth="1"/>
    <col min="13830" max="13830" width="16" style="51" customWidth="1"/>
    <col min="13831" max="13831" width="18.5703125" style="51" customWidth="1"/>
    <col min="13832" max="13835" width="14" style="51" customWidth="1"/>
    <col min="13836" max="13837" width="10.85546875" style="51"/>
    <col min="13838" max="13838" width="17.7109375" style="51" customWidth="1"/>
    <col min="13839" max="13839" width="15" style="51" customWidth="1"/>
    <col min="13840" max="13840" width="33" style="51" customWidth="1"/>
    <col min="13841" max="13841" width="10.85546875" style="51"/>
    <col min="13842" max="13842" width="43.140625" style="51" customWidth="1"/>
    <col min="13843" max="14080" width="10.85546875" style="51"/>
    <col min="14081" max="14081" width="5.7109375" style="51" customWidth="1"/>
    <col min="14082" max="14082" width="10.85546875" style="51"/>
    <col min="14083" max="14083" width="28.28515625" style="51" customWidth="1"/>
    <col min="14084" max="14084" width="29.140625" style="51" customWidth="1"/>
    <col min="14085" max="14085" width="28.28515625" style="51" customWidth="1"/>
    <col min="14086" max="14086" width="16" style="51" customWidth="1"/>
    <col min="14087" max="14087" width="18.5703125" style="51" customWidth="1"/>
    <col min="14088" max="14091" width="14" style="51" customWidth="1"/>
    <col min="14092" max="14093" width="10.85546875" style="51"/>
    <col min="14094" max="14094" width="17.7109375" style="51" customWidth="1"/>
    <col min="14095" max="14095" width="15" style="51" customWidth="1"/>
    <col min="14096" max="14096" width="33" style="51" customWidth="1"/>
    <col min="14097" max="14097" width="10.85546875" style="51"/>
    <col min="14098" max="14098" width="43.140625" style="51" customWidth="1"/>
    <col min="14099" max="14336" width="10.85546875" style="51"/>
    <col min="14337" max="14337" width="5.7109375" style="51" customWidth="1"/>
    <col min="14338" max="14338" width="10.85546875" style="51"/>
    <col min="14339" max="14339" width="28.28515625" style="51" customWidth="1"/>
    <col min="14340" max="14340" width="29.140625" style="51" customWidth="1"/>
    <col min="14341" max="14341" width="28.28515625" style="51" customWidth="1"/>
    <col min="14342" max="14342" width="16" style="51" customWidth="1"/>
    <col min="14343" max="14343" width="18.5703125" style="51" customWidth="1"/>
    <col min="14344" max="14347" width="14" style="51" customWidth="1"/>
    <col min="14348" max="14349" width="10.85546875" style="51"/>
    <col min="14350" max="14350" width="17.7109375" style="51" customWidth="1"/>
    <col min="14351" max="14351" width="15" style="51" customWidth="1"/>
    <col min="14352" max="14352" width="33" style="51" customWidth="1"/>
    <col min="14353" max="14353" width="10.85546875" style="51"/>
    <col min="14354" max="14354" width="43.140625" style="51" customWidth="1"/>
    <col min="14355" max="14592" width="10.85546875" style="51"/>
    <col min="14593" max="14593" width="5.7109375" style="51" customWidth="1"/>
    <col min="14594" max="14594" width="10.85546875" style="51"/>
    <col min="14595" max="14595" width="28.28515625" style="51" customWidth="1"/>
    <col min="14596" max="14596" width="29.140625" style="51" customWidth="1"/>
    <col min="14597" max="14597" width="28.28515625" style="51" customWidth="1"/>
    <col min="14598" max="14598" width="16" style="51" customWidth="1"/>
    <col min="14599" max="14599" width="18.5703125" style="51" customWidth="1"/>
    <col min="14600" max="14603" width="14" style="51" customWidth="1"/>
    <col min="14604" max="14605" width="10.85546875" style="51"/>
    <col min="14606" max="14606" width="17.7109375" style="51" customWidth="1"/>
    <col min="14607" max="14607" width="15" style="51" customWidth="1"/>
    <col min="14608" max="14608" width="33" style="51" customWidth="1"/>
    <col min="14609" max="14609" width="10.85546875" style="51"/>
    <col min="14610" max="14610" width="43.140625" style="51" customWidth="1"/>
    <col min="14611" max="14848" width="10.85546875" style="51"/>
    <col min="14849" max="14849" width="5.7109375" style="51" customWidth="1"/>
    <col min="14850" max="14850" width="10.85546875" style="51"/>
    <col min="14851" max="14851" width="28.28515625" style="51" customWidth="1"/>
    <col min="14852" max="14852" width="29.140625" style="51" customWidth="1"/>
    <col min="14853" max="14853" width="28.28515625" style="51" customWidth="1"/>
    <col min="14854" max="14854" width="16" style="51" customWidth="1"/>
    <col min="14855" max="14855" width="18.5703125" style="51" customWidth="1"/>
    <col min="14856" max="14859" width="14" style="51" customWidth="1"/>
    <col min="14860" max="14861" width="10.85546875" style="51"/>
    <col min="14862" max="14862" width="17.7109375" style="51" customWidth="1"/>
    <col min="14863" max="14863" width="15" style="51" customWidth="1"/>
    <col min="14864" max="14864" width="33" style="51" customWidth="1"/>
    <col min="14865" max="14865" width="10.85546875" style="51"/>
    <col min="14866" max="14866" width="43.140625" style="51" customWidth="1"/>
    <col min="14867" max="15104" width="10.85546875" style="51"/>
    <col min="15105" max="15105" width="5.7109375" style="51" customWidth="1"/>
    <col min="15106" max="15106" width="10.85546875" style="51"/>
    <col min="15107" max="15107" width="28.28515625" style="51" customWidth="1"/>
    <col min="15108" max="15108" width="29.140625" style="51" customWidth="1"/>
    <col min="15109" max="15109" width="28.28515625" style="51" customWidth="1"/>
    <col min="15110" max="15110" width="16" style="51" customWidth="1"/>
    <col min="15111" max="15111" width="18.5703125" style="51" customWidth="1"/>
    <col min="15112" max="15115" width="14" style="51" customWidth="1"/>
    <col min="15116" max="15117" width="10.85546875" style="51"/>
    <col min="15118" max="15118" width="17.7109375" style="51" customWidth="1"/>
    <col min="15119" max="15119" width="15" style="51" customWidth="1"/>
    <col min="15120" max="15120" width="33" style="51" customWidth="1"/>
    <col min="15121" max="15121" width="10.85546875" style="51"/>
    <col min="15122" max="15122" width="43.140625" style="51" customWidth="1"/>
    <col min="15123" max="15360" width="10.85546875" style="51"/>
    <col min="15361" max="15361" width="5.7109375" style="51" customWidth="1"/>
    <col min="15362" max="15362" width="10.85546875" style="51"/>
    <col min="15363" max="15363" width="28.28515625" style="51" customWidth="1"/>
    <col min="15364" max="15364" width="29.140625" style="51" customWidth="1"/>
    <col min="15365" max="15365" width="28.28515625" style="51" customWidth="1"/>
    <col min="15366" max="15366" width="16" style="51" customWidth="1"/>
    <col min="15367" max="15367" width="18.5703125" style="51" customWidth="1"/>
    <col min="15368" max="15371" width="14" style="51" customWidth="1"/>
    <col min="15372" max="15373" width="10.85546875" style="51"/>
    <col min="15374" max="15374" width="17.7109375" style="51" customWidth="1"/>
    <col min="15375" max="15375" width="15" style="51" customWidth="1"/>
    <col min="15376" max="15376" width="33" style="51" customWidth="1"/>
    <col min="15377" max="15377" width="10.85546875" style="51"/>
    <col min="15378" max="15378" width="43.140625" style="51" customWidth="1"/>
    <col min="15379" max="15616" width="10.85546875" style="51"/>
    <col min="15617" max="15617" width="5.7109375" style="51" customWidth="1"/>
    <col min="15618" max="15618" width="10.85546875" style="51"/>
    <col min="15619" max="15619" width="28.28515625" style="51" customWidth="1"/>
    <col min="15620" max="15620" width="29.140625" style="51" customWidth="1"/>
    <col min="15621" max="15621" width="28.28515625" style="51" customWidth="1"/>
    <col min="15622" max="15622" width="16" style="51" customWidth="1"/>
    <col min="15623" max="15623" width="18.5703125" style="51" customWidth="1"/>
    <col min="15624" max="15627" width="14" style="51" customWidth="1"/>
    <col min="15628" max="15629" width="10.85546875" style="51"/>
    <col min="15630" max="15630" width="17.7109375" style="51" customWidth="1"/>
    <col min="15631" max="15631" width="15" style="51" customWidth="1"/>
    <col min="15632" max="15632" width="33" style="51" customWidth="1"/>
    <col min="15633" max="15633" width="10.85546875" style="51"/>
    <col min="15634" max="15634" width="43.140625" style="51" customWidth="1"/>
    <col min="15635" max="15872" width="10.85546875" style="51"/>
    <col min="15873" max="15873" width="5.7109375" style="51" customWidth="1"/>
    <col min="15874" max="15874" width="10.85546875" style="51"/>
    <col min="15875" max="15875" width="28.28515625" style="51" customWidth="1"/>
    <col min="15876" max="15876" width="29.140625" style="51" customWidth="1"/>
    <col min="15877" max="15877" width="28.28515625" style="51" customWidth="1"/>
    <col min="15878" max="15878" width="16" style="51" customWidth="1"/>
    <col min="15879" max="15879" width="18.5703125" style="51" customWidth="1"/>
    <col min="15880" max="15883" width="14" style="51" customWidth="1"/>
    <col min="15884" max="15885" width="10.85546875" style="51"/>
    <col min="15886" max="15886" width="17.7109375" style="51" customWidth="1"/>
    <col min="15887" max="15887" width="15" style="51" customWidth="1"/>
    <col min="15888" max="15888" width="33" style="51" customWidth="1"/>
    <col min="15889" max="15889" width="10.85546875" style="51"/>
    <col min="15890" max="15890" width="43.140625" style="51" customWidth="1"/>
    <col min="15891" max="16128" width="10.85546875" style="51"/>
    <col min="16129" max="16129" width="5.7109375" style="51" customWidth="1"/>
    <col min="16130" max="16130" width="10.85546875" style="51"/>
    <col min="16131" max="16131" width="28.28515625" style="51" customWidth="1"/>
    <col min="16132" max="16132" width="29.140625" style="51" customWidth="1"/>
    <col min="16133" max="16133" width="28.28515625" style="51" customWidth="1"/>
    <col min="16134" max="16134" width="16" style="51" customWidth="1"/>
    <col min="16135" max="16135" width="18.5703125" style="51" customWidth="1"/>
    <col min="16136" max="16139" width="14" style="51" customWidth="1"/>
    <col min="16140" max="16141" width="10.85546875" style="51"/>
    <col min="16142" max="16142" width="17.7109375" style="51" customWidth="1"/>
    <col min="16143" max="16143" width="15" style="51" customWidth="1"/>
    <col min="16144" max="16144" width="33" style="51" customWidth="1"/>
    <col min="16145" max="16145" width="10.85546875" style="51"/>
    <col min="16146" max="16146" width="43.140625" style="51" customWidth="1"/>
    <col min="16147" max="16384" width="10.85546875" style="51"/>
  </cols>
  <sheetData>
    <row r="1" spans="1:18" ht="22.7" customHeight="1" x14ac:dyDescent="0.25">
      <c r="A1" s="45" t="s">
        <v>111</v>
      </c>
      <c r="B1" s="46" t="s">
        <v>112</v>
      </c>
      <c r="C1" s="47" t="s">
        <v>113</v>
      </c>
      <c r="D1" s="47" t="s">
        <v>114</v>
      </c>
      <c r="E1" s="47" t="s">
        <v>115</v>
      </c>
      <c r="F1" s="47" t="s">
        <v>116</v>
      </c>
      <c r="G1" s="46" t="s">
        <v>117</v>
      </c>
      <c r="H1" s="46" t="s">
        <v>118</v>
      </c>
      <c r="I1" s="48" t="s">
        <v>119</v>
      </c>
      <c r="J1" s="46" t="s">
        <v>120</v>
      </c>
      <c r="K1" s="46" t="s">
        <v>121</v>
      </c>
      <c r="L1" s="46" t="s">
        <v>122</v>
      </c>
      <c r="M1" s="49" t="s">
        <v>123</v>
      </c>
      <c r="N1" s="46" t="s">
        <v>124</v>
      </c>
      <c r="O1" s="46" t="s">
        <v>125</v>
      </c>
      <c r="P1" s="47" t="s">
        <v>126</v>
      </c>
      <c r="Q1" s="50" t="s">
        <v>112</v>
      </c>
      <c r="R1" s="50" t="s">
        <v>127</v>
      </c>
    </row>
    <row r="2" spans="1:18" x14ac:dyDescent="0.25">
      <c r="A2" s="52">
        <v>1</v>
      </c>
      <c r="B2" s="61">
        <v>19603449</v>
      </c>
      <c r="C2" s="47" t="s">
        <v>128</v>
      </c>
      <c r="D2" s="47" t="s">
        <v>129</v>
      </c>
      <c r="E2" s="47" t="s">
        <v>130</v>
      </c>
      <c r="F2" s="53">
        <v>2247672</v>
      </c>
      <c r="G2" s="54">
        <v>43473</v>
      </c>
      <c r="H2" s="55">
        <v>7</v>
      </c>
      <c r="I2" s="46">
        <v>2026</v>
      </c>
      <c r="J2" s="56">
        <v>46235</v>
      </c>
      <c r="K2" s="56">
        <v>46280</v>
      </c>
      <c r="L2" s="57">
        <v>46</v>
      </c>
      <c r="M2" s="46">
        <v>2026</v>
      </c>
      <c r="N2" s="54" t="s">
        <v>131</v>
      </c>
      <c r="O2" s="54" t="s">
        <v>132</v>
      </c>
      <c r="P2" s="51" t="s">
        <v>108</v>
      </c>
      <c r="Q2" s="58">
        <v>17242954</v>
      </c>
      <c r="R2" s="47" t="s">
        <v>133</v>
      </c>
    </row>
    <row r="3" spans="1:18" x14ac:dyDescent="0.25">
      <c r="A3" s="52">
        <v>2</v>
      </c>
      <c r="B3" s="61">
        <v>18463516</v>
      </c>
      <c r="C3" s="47" t="s">
        <v>134</v>
      </c>
      <c r="D3" s="47" t="s">
        <v>135</v>
      </c>
      <c r="E3" s="47" t="s">
        <v>130</v>
      </c>
      <c r="F3" s="53">
        <v>2247620</v>
      </c>
      <c r="G3" s="54">
        <v>44214</v>
      </c>
      <c r="H3" s="55">
        <v>5</v>
      </c>
      <c r="I3" s="46">
        <v>2026</v>
      </c>
      <c r="J3" s="56">
        <v>46235</v>
      </c>
      <c r="K3" s="56">
        <v>46280</v>
      </c>
      <c r="L3" s="57">
        <v>46</v>
      </c>
      <c r="M3" s="46">
        <v>2026</v>
      </c>
      <c r="N3" s="54" t="s">
        <v>136</v>
      </c>
      <c r="O3" s="54" t="s">
        <v>137</v>
      </c>
      <c r="P3" s="51" t="s">
        <v>108</v>
      </c>
      <c r="Q3" s="58">
        <v>17242954</v>
      </c>
      <c r="R3" s="47" t="s">
        <v>138</v>
      </c>
    </row>
    <row r="4" spans="1:18" x14ac:dyDescent="0.25">
      <c r="A4" s="52">
        <v>3</v>
      </c>
      <c r="B4" s="61">
        <v>18172869</v>
      </c>
      <c r="C4" s="47" t="s">
        <v>139</v>
      </c>
      <c r="D4" s="47" t="s">
        <v>140</v>
      </c>
      <c r="E4" s="47" t="s">
        <v>130</v>
      </c>
      <c r="F4" s="53">
        <v>2247630</v>
      </c>
      <c r="G4" s="54">
        <v>43473</v>
      </c>
      <c r="H4" s="55">
        <v>7</v>
      </c>
      <c r="I4" s="46">
        <v>2026</v>
      </c>
      <c r="J4" s="56">
        <v>46235</v>
      </c>
      <c r="K4" s="56">
        <v>46280</v>
      </c>
      <c r="L4" s="57">
        <v>46</v>
      </c>
      <c r="M4" s="46">
        <v>2026</v>
      </c>
      <c r="N4" s="54" t="s">
        <v>141</v>
      </c>
      <c r="O4" s="54" t="s">
        <v>142</v>
      </c>
      <c r="P4" s="51" t="s">
        <v>108</v>
      </c>
      <c r="Q4" s="58">
        <v>17242954</v>
      </c>
      <c r="R4" s="47" t="s">
        <v>143</v>
      </c>
    </row>
    <row r="5" spans="1:18" x14ac:dyDescent="0.25">
      <c r="A5" s="52">
        <v>4</v>
      </c>
      <c r="B5" s="61">
        <v>13092755</v>
      </c>
      <c r="C5" s="47" t="s">
        <v>144</v>
      </c>
      <c r="D5" s="47" t="s">
        <v>145</v>
      </c>
      <c r="E5" s="47" t="s">
        <v>130</v>
      </c>
      <c r="F5" s="53">
        <v>2078111</v>
      </c>
      <c r="G5" s="54">
        <v>38302</v>
      </c>
      <c r="H5" s="55">
        <v>21</v>
      </c>
      <c r="I5" s="46">
        <v>2026</v>
      </c>
      <c r="J5" s="56">
        <v>46235</v>
      </c>
      <c r="K5" s="56">
        <v>46280</v>
      </c>
      <c r="L5" s="57">
        <v>46</v>
      </c>
      <c r="M5" s="46">
        <v>2026</v>
      </c>
      <c r="N5" s="54" t="s">
        <v>146</v>
      </c>
      <c r="O5" s="54" t="s">
        <v>147</v>
      </c>
      <c r="P5" s="51" t="s">
        <v>108</v>
      </c>
      <c r="Q5" s="58">
        <v>17242954</v>
      </c>
      <c r="R5" s="47" t="s">
        <v>138</v>
      </c>
    </row>
    <row r="6" spans="1:18" x14ac:dyDescent="0.25">
      <c r="A6" s="52">
        <v>5</v>
      </c>
      <c r="B6" s="61">
        <v>18274289</v>
      </c>
      <c r="C6" s="47" t="s">
        <v>148</v>
      </c>
      <c r="D6" s="47" t="s">
        <v>149</v>
      </c>
      <c r="E6" s="47" t="s">
        <v>130</v>
      </c>
      <c r="F6" s="53">
        <v>2247628</v>
      </c>
      <c r="G6" s="54">
        <v>43473</v>
      </c>
      <c r="H6" s="55">
        <v>7</v>
      </c>
      <c r="I6" s="46">
        <v>2026</v>
      </c>
      <c r="J6" s="56">
        <v>46235</v>
      </c>
      <c r="K6" s="56">
        <v>46280</v>
      </c>
      <c r="L6" s="57">
        <v>46</v>
      </c>
      <c r="M6" s="46">
        <v>2026</v>
      </c>
      <c r="N6" s="54" t="s">
        <v>150</v>
      </c>
      <c r="O6" s="54" t="s">
        <v>151</v>
      </c>
      <c r="P6" s="51" t="s">
        <v>108</v>
      </c>
      <c r="Q6" s="58">
        <v>17242954</v>
      </c>
      <c r="R6" s="47" t="s">
        <v>138</v>
      </c>
    </row>
    <row r="7" spans="1:18" x14ac:dyDescent="0.25">
      <c r="A7" s="52">
        <v>6</v>
      </c>
      <c r="B7" s="61">
        <v>22718748</v>
      </c>
      <c r="C7" s="47" t="s">
        <v>152</v>
      </c>
      <c r="D7" s="47" t="s">
        <v>153</v>
      </c>
      <c r="E7" s="47" t="s">
        <v>130</v>
      </c>
      <c r="F7" s="53">
        <v>8065643</v>
      </c>
      <c r="G7" s="54">
        <v>44942</v>
      </c>
      <c r="H7" s="55">
        <v>3</v>
      </c>
      <c r="I7" s="46">
        <v>2026</v>
      </c>
      <c r="J7" s="56">
        <v>46235</v>
      </c>
      <c r="K7" s="56">
        <v>46280</v>
      </c>
      <c r="L7" s="57">
        <v>46</v>
      </c>
      <c r="M7" s="46">
        <v>2026</v>
      </c>
      <c r="N7" s="54"/>
      <c r="O7" s="54" t="s">
        <v>154</v>
      </c>
      <c r="P7" s="51" t="s">
        <v>108</v>
      </c>
      <c r="Q7" s="58">
        <v>17242954</v>
      </c>
      <c r="R7" s="47" t="s">
        <v>155</v>
      </c>
    </row>
    <row r="8" spans="1:18" x14ac:dyDescent="0.25">
      <c r="A8" s="52">
        <v>7</v>
      </c>
      <c r="B8" s="61">
        <v>16722294</v>
      </c>
      <c r="C8" s="47" t="s">
        <v>156</v>
      </c>
      <c r="D8" s="47" t="s">
        <v>157</v>
      </c>
      <c r="E8" s="47" t="s">
        <v>130</v>
      </c>
      <c r="F8" s="53">
        <v>2205978</v>
      </c>
      <c r="G8" s="54">
        <v>41624</v>
      </c>
      <c r="H8" s="55">
        <v>12</v>
      </c>
      <c r="I8" s="46">
        <v>2026</v>
      </c>
      <c r="J8" s="56">
        <v>46235</v>
      </c>
      <c r="K8" s="56">
        <v>46280</v>
      </c>
      <c r="L8" s="57">
        <v>46</v>
      </c>
      <c r="M8" s="46">
        <v>2026</v>
      </c>
      <c r="N8" s="54" t="s">
        <v>158</v>
      </c>
      <c r="O8" s="54" t="s">
        <v>159</v>
      </c>
      <c r="P8" s="51" t="s">
        <v>108</v>
      </c>
      <c r="Q8" s="58">
        <v>17242954</v>
      </c>
      <c r="R8" s="47" t="s">
        <v>155</v>
      </c>
    </row>
    <row r="9" spans="1:18" x14ac:dyDescent="0.25">
      <c r="A9" s="52">
        <v>8</v>
      </c>
      <c r="B9" s="61">
        <v>14859067</v>
      </c>
      <c r="C9" s="47" t="s">
        <v>160</v>
      </c>
      <c r="D9" s="47" t="s">
        <v>161</v>
      </c>
      <c r="E9" s="47" t="s">
        <v>130</v>
      </c>
      <c r="F9" s="53">
        <v>2247674</v>
      </c>
      <c r="G9" s="54">
        <v>43473</v>
      </c>
      <c r="H9" s="55">
        <v>7</v>
      </c>
      <c r="I9" s="46">
        <v>2026</v>
      </c>
      <c r="J9" s="56">
        <v>46235</v>
      </c>
      <c r="K9" s="56">
        <v>46280</v>
      </c>
      <c r="L9" s="57">
        <v>46</v>
      </c>
      <c r="M9" s="46">
        <v>2026</v>
      </c>
      <c r="N9" s="54" t="s">
        <v>162</v>
      </c>
      <c r="O9" s="54" t="s">
        <v>163</v>
      </c>
      <c r="P9" s="51" t="s">
        <v>108</v>
      </c>
      <c r="Q9" s="58">
        <v>17242954</v>
      </c>
      <c r="R9" s="47" t="s">
        <v>138</v>
      </c>
    </row>
    <row r="10" spans="1:18" x14ac:dyDescent="0.25">
      <c r="A10" s="52">
        <v>9</v>
      </c>
      <c r="B10" s="61">
        <v>17483709</v>
      </c>
      <c r="C10" s="47" t="s">
        <v>164</v>
      </c>
      <c r="D10" s="47" t="s">
        <v>165</v>
      </c>
      <c r="E10" s="47" t="s">
        <v>130</v>
      </c>
      <c r="F10" s="53">
        <v>2177721</v>
      </c>
      <c r="G10" s="54">
        <v>41222</v>
      </c>
      <c r="H10" s="55">
        <v>13</v>
      </c>
      <c r="I10" s="46">
        <v>2026</v>
      </c>
      <c r="J10" s="56">
        <v>46235</v>
      </c>
      <c r="K10" s="56">
        <v>46280</v>
      </c>
      <c r="L10" s="57">
        <v>46</v>
      </c>
      <c r="M10" s="46">
        <v>2026</v>
      </c>
      <c r="N10" s="54" t="s">
        <v>166</v>
      </c>
      <c r="O10" s="54" t="s">
        <v>167</v>
      </c>
      <c r="P10" s="51" t="s">
        <v>108</v>
      </c>
      <c r="Q10" s="58">
        <v>17242954</v>
      </c>
      <c r="R10" s="47" t="s">
        <v>138</v>
      </c>
    </row>
    <row r="11" spans="1:18" x14ac:dyDescent="0.25">
      <c r="A11" s="52">
        <v>10</v>
      </c>
      <c r="B11" s="61">
        <v>19080636</v>
      </c>
      <c r="C11" s="47" t="s">
        <v>168</v>
      </c>
      <c r="D11" s="47" t="s">
        <v>169</v>
      </c>
      <c r="E11" s="47" t="s">
        <v>130</v>
      </c>
      <c r="F11" s="53">
        <v>2209335</v>
      </c>
      <c r="G11" s="54">
        <v>41753</v>
      </c>
      <c r="H11" s="55">
        <v>12</v>
      </c>
      <c r="I11" s="46">
        <v>2026</v>
      </c>
      <c r="J11" s="56">
        <v>46235</v>
      </c>
      <c r="K11" s="56">
        <v>46280</v>
      </c>
      <c r="L11" s="57">
        <v>46</v>
      </c>
      <c r="M11" s="46">
        <v>2026</v>
      </c>
      <c r="N11" s="54" t="s">
        <v>170</v>
      </c>
      <c r="O11" s="54" t="s">
        <v>171</v>
      </c>
      <c r="P11" s="51" t="s">
        <v>108</v>
      </c>
      <c r="Q11" s="58">
        <v>17242954</v>
      </c>
      <c r="R11" s="47" t="s">
        <v>172</v>
      </c>
    </row>
    <row r="12" spans="1:18" x14ac:dyDescent="0.25">
      <c r="A12" s="52">
        <v>11</v>
      </c>
      <c r="B12" s="61">
        <v>16807474</v>
      </c>
      <c r="C12" s="47" t="s">
        <v>173</v>
      </c>
      <c r="D12" s="47" t="s">
        <v>174</v>
      </c>
      <c r="E12" s="47" t="s">
        <v>130</v>
      </c>
      <c r="F12" s="53">
        <v>2137991</v>
      </c>
      <c r="G12" s="54">
        <v>39904</v>
      </c>
      <c r="H12" s="55">
        <v>17</v>
      </c>
      <c r="I12" s="46">
        <v>2026</v>
      </c>
      <c r="J12" s="56">
        <v>46235</v>
      </c>
      <c r="K12" s="56">
        <v>46280</v>
      </c>
      <c r="L12" s="57">
        <v>46</v>
      </c>
      <c r="M12" s="46">
        <v>2026</v>
      </c>
      <c r="N12" s="54" t="s">
        <v>175</v>
      </c>
      <c r="O12" s="54" t="s">
        <v>176</v>
      </c>
      <c r="P12" s="51" t="s">
        <v>108</v>
      </c>
      <c r="Q12" s="58">
        <v>17242954</v>
      </c>
      <c r="R12" s="47" t="s">
        <v>155</v>
      </c>
    </row>
    <row r="13" spans="1:18" x14ac:dyDescent="0.25">
      <c r="A13" s="52">
        <v>12</v>
      </c>
      <c r="B13" s="61">
        <v>15335432</v>
      </c>
      <c r="C13" s="47" t="s">
        <v>177</v>
      </c>
      <c r="D13" s="47" t="s">
        <v>178</v>
      </c>
      <c r="E13" s="47" t="s">
        <v>130</v>
      </c>
      <c r="F13" s="53">
        <v>2079830</v>
      </c>
      <c r="G13" s="54">
        <v>38412</v>
      </c>
      <c r="H13" s="55">
        <v>21</v>
      </c>
      <c r="I13" s="46">
        <v>2026</v>
      </c>
      <c r="J13" s="56">
        <v>46235</v>
      </c>
      <c r="K13" s="56">
        <v>46280</v>
      </c>
      <c r="L13" s="57">
        <v>46</v>
      </c>
      <c r="M13" s="46">
        <v>2026</v>
      </c>
      <c r="N13" s="54" t="s">
        <v>179</v>
      </c>
      <c r="O13" s="54" t="s">
        <v>180</v>
      </c>
      <c r="P13" s="51" t="s">
        <v>108</v>
      </c>
      <c r="Q13" s="58">
        <v>17242954</v>
      </c>
      <c r="R13" s="47" t="s">
        <v>181</v>
      </c>
    </row>
    <row r="14" spans="1:18" x14ac:dyDescent="0.25">
      <c r="A14" s="52">
        <v>13</v>
      </c>
      <c r="B14" s="61">
        <v>19038253</v>
      </c>
      <c r="C14" s="47" t="s">
        <v>182</v>
      </c>
      <c r="D14" s="47" t="s">
        <v>183</v>
      </c>
      <c r="E14" s="47" t="s">
        <v>130</v>
      </c>
      <c r="F14" s="53">
        <v>2209264</v>
      </c>
      <c r="G14" s="54">
        <v>41754</v>
      </c>
      <c r="H14" s="55">
        <v>12</v>
      </c>
      <c r="I14" s="46">
        <v>2026</v>
      </c>
      <c r="J14" s="56">
        <v>46235</v>
      </c>
      <c r="K14" s="56">
        <v>46280</v>
      </c>
      <c r="L14" s="57">
        <v>46</v>
      </c>
      <c r="M14" s="46">
        <v>2026</v>
      </c>
      <c r="N14" s="54" t="s">
        <v>184</v>
      </c>
      <c r="O14" s="54" t="s">
        <v>185</v>
      </c>
      <c r="P14" s="51" t="s">
        <v>108</v>
      </c>
      <c r="Q14" s="58">
        <v>17242954</v>
      </c>
      <c r="R14" s="47" t="s">
        <v>138</v>
      </c>
    </row>
    <row r="15" spans="1:18" x14ac:dyDescent="0.25">
      <c r="A15" s="52">
        <v>14</v>
      </c>
      <c r="B15" s="61">
        <v>12067865</v>
      </c>
      <c r="C15" s="47" t="s">
        <v>186</v>
      </c>
      <c r="D15" s="47" t="s">
        <v>187</v>
      </c>
      <c r="E15" s="47" t="s">
        <v>130</v>
      </c>
      <c r="F15" s="53">
        <v>2206179</v>
      </c>
      <c r="G15" s="54">
        <v>41628</v>
      </c>
      <c r="H15" s="55">
        <v>12</v>
      </c>
      <c r="I15" s="46">
        <v>2026</v>
      </c>
      <c r="J15" s="56">
        <v>46235</v>
      </c>
      <c r="K15" s="56">
        <v>46280</v>
      </c>
      <c r="L15" s="57">
        <v>46</v>
      </c>
      <c r="M15" s="46">
        <v>2026</v>
      </c>
      <c r="N15" s="54" t="s">
        <v>188</v>
      </c>
      <c r="O15" s="54" t="s">
        <v>189</v>
      </c>
      <c r="P15" s="51" t="s">
        <v>108</v>
      </c>
      <c r="Q15" s="58">
        <v>17242954</v>
      </c>
      <c r="R15" s="47" t="s">
        <v>155</v>
      </c>
    </row>
    <row r="16" spans="1:18" x14ac:dyDescent="0.25">
      <c r="A16" s="52">
        <v>15</v>
      </c>
      <c r="B16" s="61">
        <v>17933097</v>
      </c>
      <c r="C16" s="47" t="s">
        <v>190</v>
      </c>
      <c r="D16" s="47" t="s">
        <v>191</v>
      </c>
      <c r="E16" s="47" t="s">
        <v>130</v>
      </c>
      <c r="F16" s="53">
        <v>2247631</v>
      </c>
      <c r="G16" s="54">
        <v>43473</v>
      </c>
      <c r="H16" s="55">
        <v>7</v>
      </c>
      <c r="I16" s="46">
        <v>2026</v>
      </c>
      <c r="J16" s="56">
        <v>46235</v>
      </c>
      <c r="K16" s="56">
        <v>46280</v>
      </c>
      <c r="L16" s="57">
        <v>46</v>
      </c>
      <c r="M16" s="46">
        <v>2026</v>
      </c>
      <c r="N16" s="54" t="s">
        <v>192</v>
      </c>
      <c r="O16" s="54" t="s">
        <v>193</v>
      </c>
      <c r="P16" s="51" t="s">
        <v>108</v>
      </c>
      <c r="Q16" s="58">
        <v>17242954</v>
      </c>
      <c r="R16" s="47" t="s">
        <v>143</v>
      </c>
    </row>
    <row r="17" spans="1:18" x14ac:dyDescent="0.25">
      <c r="A17" s="52">
        <v>16</v>
      </c>
      <c r="B17" s="61">
        <v>14367610</v>
      </c>
      <c r="C17" s="47" t="s">
        <v>194</v>
      </c>
      <c r="D17" s="47" t="s">
        <v>195</v>
      </c>
      <c r="E17" s="47" t="s">
        <v>130</v>
      </c>
      <c r="F17" s="53">
        <v>2090264</v>
      </c>
      <c r="G17" s="54">
        <v>38631</v>
      </c>
      <c r="H17" s="55">
        <v>20</v>
      </c>
      <c r="I17" s="46">
        <v>2026</v>
      </c>
      <c r="J17" s="56">
        <v>46235</v>
      </c>
      <c r="K17" s="56">
        <v>46280</v>
      </c>
      <c r="L17" s="57">
        <v>46</v>
      </c>
      <c r="M17" s="46">
        <v>2026</v>
      </c>
      <c r="N17" s="54" t="s">
        <v>196</v>
      </c>
      <c r="O17" s="54" t="s">
        <v>197</v>
      </c>
      <c r="P17" s="51" t="s">
        <v>108</v>
      </c>
      <c r="Q17" s="58">
        <v>17242954</v>
      </c>
      <c r="R17" s="47" t="s">
        <v>198</v>
      </c>
    </row>
    <row r="18" spans="1:18" x14ac:dyDescent="0.25">
      <c r="A18" s="52">
        <v>17</v>
      </c>
      <c r="B18" s="61">
        <v>17546584</v>
      </c>
      <c r="C18" s="47" t="s">
        <v>194</v>
      </c>
      <c r="D18" s="47" t="s">
        <v>199</v>
      </c>
      <c r="E18" s="47" t="s">
        <v>130</v>
      </c>
      <c r="F18" s="53">
        <v>2177712</v>
      </c>
      <c r="G18" s="54">
        <v>41008</v>
      </c>
      <c r="H18" s="55">
        <v>14</v>
      </c>
      <c r="I18" s="46">
        <v>2026</v>
      </c>
      <c r="J18" s="56">
        <v>46235</v>
      </c>
      <c r="K18" s="56">
        <v>46280</v>
      </c>
      <c r="L18" s="57">
        <v>46</v>
      </c>
      <c r="M18" s="46">
        <v>2026</v>
      </c>
      <c r="N18" s="54" t="s">
        <v>200</v>
      </c>
      <c r="O18" s="54" t="s">
        <v>201</v>
      </c>
      <c r="P18" s="51" t="s">
        <v>108</v>
      </c>
      <c r="Q18" s="58">
        <v>17242954</v>
      </c>
      <c r="R18" s="47" t="s">
        <v>138</v>
      </c>
    </row>
    <row r="19" spans="1:18" x14ac:dyDescent="0.25">
      <c r="A19" s="52">
        <v>18</v>
      </c>
      <c r="B19" s="61">
        <v>18788707</v>
      </c>
      <c r="C19" s="47" t="s">
        <v>194</v>
      </c>
      <c r="D19" s="47" t="s">
        <v>202</v>
      </c>
      <c r="E19" s="47" t="s">
        <v>130</v>
      </c>
      <c r="F19" s="53">
        <v>2177808</v>
      </c>
      <c r="G19" s="54">
        <v>41008</v>
      </c>
      <c r="H19" s="55">
        <v>14</v>
      </c>
      <c r="I19" s="46">
        <v>2026</v>
      </c>
      <c r="J19" s="56">
        <v>46235</v>
      </c>
      <c r="K19" s="56">
        <v>46280</v>
      </c>
      <c r="L19" s="57">
        <v>46</v>
      </c>
      <c r="M19" s="46">
        <v>2026</v>
      </c>
      <c r="N19" s="54" t="s">
        <v>203</v>
      </c>
      <c r="O19" s="54" t="s">
        <v>204</v>
      </c>
      <c r="P19" s="51" t="s">
        <v>108</v>
      </c>
      <c r="Q19" s="58">
        <v>17242954</v>
      </c>
      <c r="R19" s="47" t="s">
        <v>205</v>
      </c>
    </row>
    <row r="20" spans="1:18" x14ac:dyDescent="0.25">
      <c r="A20" s="52">
        <v>19</v>
      </c>
      <c r="B20" s="61">
        <v>20001991</v>
      </c>
      <c r="C20" s="47" t="s">
        <v>206</v>
      </c>
      <c r="D20" s="47" t="s">
        <v>161</v>
      </c>
      <c r="E20" s="47" t="s">
        <v>130</v>
      </c>
      <c r="F20" s="53">
        <v>2247622</v>
      </c>
      <c r="G20" s="54">
        <v>44596</v>
      </c>
      <c r="H20" s="55">
        <v>4</v>
      </c>
      <c r="I20" s="46">
        <v>2026</v>
      </c>
      <c r="J20" s="56">
        <v>46235</v>
      </c>
      <c r="K20" s="56">
        <v>46280</v>
      </c>
      <c r="L20" s="57">
        <v>46</v>
      </c>
      <c r="M20" s="46">
        <v>2026</v>
      </c>
      <c r="N20" s="54" t="s">
        <v>207</v>
      </c>
      <c r="O20" s="54" t="s">
        <v>208</v>
      </c>
      <c r="P20" s="51" t="s">
        <v>108</v>
      </c>
      <c r="Q20" s="58">
        <v>17242954</v>
      </c>
      <c r="R20" s="47" t="s">
        <v>155</v>
      </c>
    </row>
    <row r="21" spans="1:18" x14ac:dyDescent="0.25">
      <c r="A21" s="52">
        <v>20</v>
      </c>
      <c r="B21" s="61">
        <v>22720162</v>
      </c>
      <c r="C21" s="47" t="s">
        <v>209</v>
      </c>
      <c r="D21" s="47" t="s">
        <v>210</v>
      </c>
      <c r="E21" s="47" t="s">
        <v>130</v>
      </c>
      <c r="F21" s="53">
        <v>8065646</v>
      </c>
      <c r="G21" s="54">
        <v>44942</v>
      </c>
      <c r="H21" s="55">
        <v>3</v>
      </c>
      <c r="I21" s="46">
        <v>2026</v>
      </c>
      <c r="J21" s="56">
        <v>46235</v>
      </c>
      <c r="K21" s="56">
        <v>46280</v>
      </c>
      <c r="L21" s="57">
        <v>46</v>
      </c>
      <c r="M21" s="46">
        <v>2026</v>
      </c>
      <c r="N21" s="54"/>
      <c r="O21" s="54" t="s">
        <v>211</v>
      </c>
      <c r="P21" s="51" t="s">
        <v>108</v>
      </c>
      <c r="Q21" s="58">
        <v>17242954</v>
      </c>
      <c r="R21" s="47" t="s">
        <v>138</v>
      </c>
    </row>
    <row r="22" spans="1:18" x14ac:dyDescent="0.25">
      <c r="A22" s="52">
        <v>21</v>
      </c>
      <c r="B22" s="61">
        <v>19079220</v>
      </c>
      <c r="C22" s="47" t="s">
        <v>212</v>
      </c>
      <c r="D22" s="47" t="s">
        <v>213</v>
      </c>
      <c r="E22" s="47" t="s">
        <v>130</v>
      </c>
      <c r="F22" s="53">
        <v>8044828</v>
      </c>
      <c r="G22" s="54">
        <v>43707</v>
      </c>
      <c r="H22" s="55">
        <v>6</v>
      </c>
      <c r="I22" s="46">
        <v>2026</v>
      </c>
      <c r="J22" s="56">
        <v>46235</v>
      </c>
      <c r="K22" s="56">
        <v>46280</v>
      </c>
      <c r="L22" s="57">
        <v>46</v>
      </c>
      <c r="M22" s="46">
        <v>2026</v>
      </c>
      <c r="N22" s="54" t="s">
        <v>214</v>
      </c>
      <c r="O22" s="54" t="s">
        <v>215</v>
      </c>
      <c r="P22" s="51" t="s">
        <v>108</v>
      </c>
      <c r="Q22" s="58">
        <v>17242954</v>
      </c>
      <c r="R22" s="47" t="s">
        <v>138</v>
      </c>
    </row>
    <row r="23" spans="1:18" x14ac:dyDescent="0.25">
      <c r="A23" s="52">
        <v>22</v>
      </c>
      <c r="B23" s="61">
        <v>18075785</v>
      </c>
      <c r="C23" s="47" t="s">
        <v>216</v>
      </c>
      <c r="D23" s="47" t="s">
        <v>217</v>
      </c>
      <c r="E23" s="47" t="s">
        <v>130</v>
      </c>
      <c r="F23" s="53">
        <v>8065641</v>
      </c>
      <c r="G23" s="54">
        <v>44942</v>
      </c>
      <c r="H23" s="55">
        <v>3</v>
      </c>
      <c r="I23" s="46">
        <v>2026</v>
      </c>
      <c r="J23" s="56">
        <v>46235</v>
      </c>
      <c r="K23" s="56">
        <v>46280</v>
      </c>
      <c r="L23" s="57">
        <v>46</v>
      </c>
      <c r="M23" s="46">
        <v>2026</v>
      </c>
      <c r="N23" s="54"/>
      <c r="O23" s="54" t="s">
        <v>218</v>
      </c>
      <c r="P23" s="51" t="s">
        <v>108</v>
      </c>
      <c r="Q23" s="58">
        <v>17242954</v>
      </c>
      <c r="R23" s="47" t="s">
        <v>155</v>
      </c>
    </row>
    <row r="24" spans="1:18" x14ac:dyDescent="0.25">
      <c r="A24" s="52">
        <v>23</v>
      </c>
      <c r="B24" s="61">
        <v>12891949</v>
      </c>
      <c r="C24" s="47" t="s">
        <v>219</v>
      </c>
      <c r="D24" s="47" t="s">
        <v>220</v>
      </c>
      <c r="E24" s="47" t="s">
        <v>130</v>
      </c>
      <c r="F24" s="53">
        <v>4007923</v>
      </c>
      <c r="G24" s="54">
        <v>38621</v>
      </c>
      <c r="H24" s="55">
        <v>20</v>
      </c>
      <c r="I24" s="46">
        <v>2026</v>
      </c>
      <c r="J24" s="56">
        <v>46235</v>
      </c>
      <c r="K24" s="56">
        <v>46280</v>
      </c>
      <c r="L24" s="57">
        <v>46</v>
      </c>
      <c r="M24" s="46">
        <v>2026</v>
      </c>
      <c r="N24" s="54" t="s">
        <v>221</v>
      </c>
      <c r="O24" s="54" t="s">
        <v>222</v>
      </c>
      <c r="P24" s="51" t="s">
        <v>108</v>
      </c>
      <c r="Q24" s="58">
        <v>17242954</v>
      </c>
      <c r="R24" s="47" t="s">
        <v>223</v>
      </c>
    </row>
    <row r="25" spans="1:18" x14ac:dyDescent="0.25">
      <c r="A25" s="52">
        <v>24</v>
      </c>
      <c r="B25" s="61">
        <v>16374774</v>
      </c>
      <c r="C25" s="47" t="s">
        <v>224</v>
      </c>
      <c r="D25" s="47" t="s">
        <v>225</v>
      </c>
      <c r="E25" s="47" t="s">
        <v>130</v>
      </c>
      <c r="F25" s="53">
        <v>2209248</v>
      </c>
      <c r="G25" s="54">
        <v>41754</v>
      </c>
      <c r="H25" s="55">
        <v>12</v>
      </c>
      <c r="I25" s="46">
        <v>2026</v>
      </c>
      <c r="J25" s="56">
        <v>46235</v>
      </c>
      <c r="K25" s="56">
        <v>46280</v>
      </c>
      <c r="L25" s="57">
        <v>46</v>
      </c>
      <c r="M25" s="46">
        <v>2026</v>
      </c>
      <c r="N25" s="54" t="s">
        <v>226</v>
      </c>
      <c r="O25" s="54" t="s">
        <v>227</v>
      </c>
      <c r="P25" s="51" t="s">
        <v>108</v>
      </c>
      <c r="Q25" s="58">
        <v>17242954</v>
      </c>
      <c r="R25" s="47" t="s">
        <v>138</v>
      </c>
    </row>
    <row r="26" spans="1:18" x14ac:dyDescent="0.25">
      <c r="A26" s="52">
        <v>25</v>
      </c>
      <c r="B26" s="61">
        <v>19080588</v>
      </c>
      <c r="C26" s="47" t="s">
        <v>228</v>
      </c>
      <c r="D26" s="47" t="s">
        <v>229</v>
      </c>
      <c r="E26" s="47" t="s">
        <v>130</v>
      </c>
      <c r="F26" s="53">
        <v>8065654</v>
      </c>
      <c r="G26" s="54">
        <v>44942</v>
      </c>
      <c r="H26" s="55">
        <v>3</v>
      </c>
      <c r="I26" s="46">
        <v>2026</v>
      </c>
      <c r="J26" s="56">
        <v>46235</v>
      </c>
      <c r="K26" s="56">
        <v>46280</v>
      </c>
      <c r="L26" s="57">
        <v>46</v>
      </c>
      <c r="M26" s="46">
        <v>2026</v>
      </c>
      <c r="N26" s="54"/>
      <c r="O26" s="54" t="s">
        <v>230</v>
      </c>
      <c r="P26" s="51" t="s">
        <v>108</v>
      </c>
      <c r="Q26" s="58">
        <v>17242954</v>
      </c>
      <c r="R26" s="47" t="s">
        <v>138</v>
      </c>
    </row>
    <row r="27" spans="1:18" x14ac:dyDescent="0.25">
      <c r="A27" s="52">
        <v>26</v>
      </c>
      <c r="B27" s="61">
        <v>17722878</v>
      </c>
      <c r="C27" s="47" t="s">
        <v>231</v>
      </c>
      <c r="D27" s="47" t="s">
        <v>232</v>
      </c>
      <c r="E27" s="47" t="s">
        <v>130</v>
      </c>
      <c r="F27" s="53">
        <v>2162520</v>
      </c>
      <c r="G27" s="54">
        <v>40470</v>
      </c>
      <c r="H27" s="55">
        <v>15</v>
      </c>
      <c r="I27" s="46">
        <v>2026</v>
      </c>
      <c r="J27" s="56">
        <v>46235</v>
      </c>
      <c r="K27" s="56">
        <v>46280</v>
      </c>
      <c r="L27" s="57">
        <v>46</v>
      </c>
      <c r="M27" s="46">
        <v>2026</v>
      </c>
      <c r="N27" s="54" t="s">
        <v>233</v>
      </c>
      <c r="O27" s="54" t="s">
        <v>234</v>
      </c>
      <c r="P27" s="51" t="s">
        <v>108</v>
      </c>
      <c r="Q27" s="58">
        <v>17242954</v>
      </c>
      <c r="R27" s="47" t="s">
        <v>143</v>
      </c>
    </row>
    <row r="28" spans="1:18" x14ac:dyDescent="0.25">
      <c r="A28" s="52">
        <v>27</v>
      </c>
      <c r="B28" s="61">
        <v>17723779</v>
      </c>
      <c r="C28" s="47" t="s">
        <v>235</v>
      </c>
      <c r="D28" s="47" t="s">
        <v>236</v>
      </c>
      <c r="E28" s="47" t="s">
        <v>130</v>
      </c>
      <c r="F28" s="53">
        <v>2247675</v>
      </c>
      <c r="G28" s="54">
        <v>43473</v>
      </c>
      <c r="H28" s="55">
        <v>7</v>
      </c>
      <c r="I28" s="46">
        <v>2026</v>
      </c>
      <c r="J28" s="56">
        <v>46235</v>
      </c>
      <c r="K28" s="56">
        <v>46280</v>
      </c>
      <c r="L28" s="57">
        <v>46</v>
      </c>
      <c r="M28" s="46">
        <v>2026</v>
      </c>
      <c r="N28" s="54" t="s">
        <v>237</v>
      </c>
      <c r="O28" s="54" t="s">
        <v>238</v>
      </c>
      <c r="P28" s="51" t="s">
        <v>108</v>
      </c>
      <c r="Q28" s="58">
        <v>17242954</v>
      </c>
      <c r="R28" s="47" t="s">
        <v>133</v>
      </c>
    </row>
    <row r="29" spans="1:18" x14ac:dyDescent="0.25">
      <c r="A29" s="52">
        <v>28</v>
      </c>
      <c r="B29" s="61">
        <v>16375125</v>
      </c>
      <c r="C29" s="47" t="s">
        <v>239</v>
      </c>
      <c r="D29" s="47" t="s">
        <v>240</v>
      </c>
      <c r="E29" s="47" t="s">
        <v>130</v>
      </c>
      <c r="F29" s="53">
        <v>2137952</v>
      </c>
      <c r="G29" s="54">
        <v>39904</v>
      </c>
      <c r="H29" s="55">
        <v>17</v>
      </c>
      <c r="I29" s="46">
        <v>2026</v>
      </c>
      <c r="J29" s="56">
        <v>46235</v>
      </c>
      <c r="K29" s="56">
        <v>46280</v>
      </c>
      <c r="L29" s="57">
        <v>46</v>
      </c>
      <c r="M29" s="46">
        <v>2026</v>
      </c>
      <c r="N29" s="54" t="s">
        <v>241</v>
      </c>
      <c r="O29" s="54" t="s">
        <v>242</v>
      </c>
      <c r="P29" s="51" t="s">
        <v>108</v>
      </c>
      <c r="Q29" s="58">
        <v>17242954</v>
      </c>
      <c r="R29" s="47" t="s">
        <v>138</v>
      </c>
    </row>
    <row r="30" spans="1:18" x14ac:dyDescent="0.25">
      <c r="A30" s="52">
        <v>29</v>
      </c>
      <c r="B30" s="61">
        <v>16699098</v>
      </c>
      <c r="C30" s="47" t="s">
        <v>243</v>
      </c>
      <c r="D30" s="47" t="s">
        <v>244</v>
      </c>
      <c r="E30" s="47" t="s">
        <v>130</v>
      </c>
      <c r="F30" s="53">
        <v>2247624</v>
      </c>
      <c r="G30" s="54">
        <v>43473</v>
      </c>
      <c r="H30" s="55">
        <v>7</v>
      </c>
      <c r="I30" s="46">
        <v>2026</v>
      </c>
      <c r="J30" s="56">
        <v>46235</v>
      </c>
      <c r="K30" s="56">
        <v>46280</v>
      </c>
      <c r="L30" s="57">
        <v>46</v>
      </c>
      <c r="M30" s="46">
        <v>2026</v>
      </c>
      <c r="N30" s="54" t="s">
        <v>245</v>
      </c>
      <c r="O30" s="54" t="s">
        <v>246</v>
      </c>
      <c r="P30" s="51" t="s">
        <v>108</v>
      </c>
      <c r="Q30" s="58">
        <v>17242954</v>
      </c>
      <c r="R30" s="47" t="s">
        <v>155</v>
      </c>
    </row>
    <row r="31" spans="1:18" x14ac:dyDescent="0.25">
      <c r="A31" s="52">
        <v>30</v>
      </c>
      <c r="B31" s="61">
        <v>18080019</v>
      </c>
      <c r="C31" s="47" t="s">
        <v>247</v>
      </c>
      <c r="D31" s="47" t="s">
        <v>248</v>
      </c>
      <c r="E31" s="47" t="s">
        <v>130</v>
      </c>
      <c r="F31" s="53">
        <v>8065638</v>
      </c>
      <c r="G31" s="54">
        <v>44942</v>
      </c>
      <c r="H31" s="55">
        <v>3</v>
      </c>
      <c r="I31" s="46">
        <v>2026</v>
      </c>
      <c r="J31" s="56">
        <v>46235</v>
      </c>
      <c r="K31" s="56">
        <v>46280</v>
      </c>
      <c r="L31" s="57">
        <v>46</v>
      </c>
      <c r="M31" s="46">
        <v>2026</v>
      </c>
      <c r="N31" s="54"/>
      <c r="O31" s="54" t="s">
        <v>249</v>
      </c>
      <c r="P31" s="51" t="s">
        <v>108</v>
      </c>
      <c r="Q31" s="58">
        <v>17242954</v>
      </c>
      <c r="R31" s="47" t="s">
        <v>155</v>
      </c>
    </row>
    <row r="32" spans="1:18" x14ac:dyDescent="0.25">
      <c r="A32" s="52">
        <v>31</v>
      </c>
      <c r="B32" s="61">
        <v>14703619</v>
      </c>
      <c r="C32" s="47" t="s">
        <v>250</v>
      </c>
      <c r="D32" s="47" t="s">
        <v>251</v>
      </c>
      <c r="E32" s="47" t="s">
        <v>130</v>
      </c>
      <c r="F32" s="53">
        <v>2177720</v>
      </c>
      <c r="G32" s="54">
        <v>41008</v>
      </c>
      <c r="H32" s="55">
        <v>14</v>
      </c>
      <c r="I32" s="46">
        <v>2026</v>
      </c>
      <c r="J32" s="56">
        <v>46235</v>
      </c>
      <c r="K32" s="56">
        <v>46280</v>
      </c>
      <c r="L32" s="57">
        <v>46</v>
      </c>
      <c r="M32" s="46">
        <v>2026</v>
      </c>
      <c r="N32" s="54" t="s">
        <v>252</v>
      </c>
      <c r="O32" s="54" t="s">
        <v>253</v>
      </c>
      <c r="P32" s="51" t="s">
        <v>108</v>
      </c>
      <c r="Q32" s="58">
        <v>17242954</v>
      </c>
      <c r="R32" s="47" t="s">
        <v>138</v>
      </c>
    </row>
    <row r="33" spans="1:18" x14ac:dyDescent="0.25">
      <c r="A33" s="52">
        <v>32</v>
      </c>
      <c r="B33" s="61">
        <v>17090701</v>
      </c>
      <c r="C33" s="47" t="s">
        <v>254</v>
      </c>
      <c r="D33" s="47" t="s">
        <v>255</v>
      </c>
      <c r="E33" s="47" t="s">
        <v>130</v>
      </c>
      <c r="F33" s="53">
        <v>2138245</v>
      </c>
      <c r="G33" s="54">
        <v>39925</v>
      </c>
      <c r="H33" s="55">
        <v>17</v>
      </c>
      <c r="I33" s="46">
        <v>2026</v>
      </c>
      <c r="J33" s="56">
        <v>46235</v>
      </c>
      <c r="K33" s="56">
        <v>46280</v>
      </c>
      <c r="L33" s="57">
        <v>46</v>
      </c>
      <c r="M33" s="46">
        <v>2026</v>
      </c>
      <c r="N33" s="54" t="s">
        <v>256</v>
      </c>
      <c r="O33" s="54" t="s">
        <v>257</v>
      </c>
      <c r="P33" s="51" t="s">
        <v>108</v>
      </c>
      <c r="Q33" s="58">
        <v>17242954</v>
      </c>
      <c r="R33" s="47" t="s">
        <v>138</v>
      </c>
    </row>
    <row r="34" spans="1:18" x14ac:dyDescent="0.25">
      <c r="A34" s="52">
        <v>33</v>
      </c>
      <c r="B34" s="61">
        <v>15631248</v>
      </c>
      <c r="C34" s="47" t="s">
        <v>258</v>
      </c>
      <c r="D34" s="47" t="s">
        <v>259</v>
      </c>
      <c r="E34" s="47" t="s">
        <v>130</v>
      </c>
      <c r="F34" s="53">
        <v>2247671</v>
      </c>
      <c r="G34" s="54">
        <v>43473</v>
      </c>
      <c r="H34" s="55">
        <v>7</v>
      </c>
      <c r="I34" s="46">
        <v>2026</v>
      </c>
      <c r="J34" s="56">
        <v>46235</v>
      </c>
      <c r="K34" s="56">
        <v>46280</v>
      </c>
      <c r="L34" s="57">
        <v>46</v>
      </c>
      <c r="M34" s="46">
        <v>2026</v>
      </c>
      <c r="N34" s="54" t="s">
        <v>260</v>
      </c>
      <c r="O34" s="54" t="s">
        <v>261</v>
      </c>
      <c r="P34" s="51" t="s">
        <v>108</v>
      </c>
      <c r="Q34" s="58">
        <v>17242954</v>
      </c>
      <c r="R34" s="47" t="s">
        <v>172</v>
      </c>
    </row>
    <row r="35" spans="1:18" x14ac:dyDescent="0.25">
      <c r="A35" s="52">
        <v>34</v>
      </c>
      <c r="B35" s="61">
        <v>17241569</v>
      </c>
      <c r="C35" s="47" t="s">
        <v>262</v>
      </c>
      <c r="D35" s="47" t="s">
        <v>263</v>
      </c>
      <c r="E35" s="47" t="s">
        <v>130</v>
      </c>
      <c r="F35" s="53">
        <v>2209352</v>
      </c>
      <c r="G35" s="54">
        <v>41754</v>
      </c>
      <c r="H35" s="55">
        <v>12</v>
      </c>
      <c r="I35" s="46">
        <v>2026</v>
      </c>
      <c r="J35" s="56">
        <v>46235</v>
      </c>
      <c r="K35" s="56">
        <v>46280</v>
      </c>
      <c r="L35" s="57">
        <v>46</v>
      </c>
      <c r="M35" s="46">
        <v>2026</v>
      </c>
      <c r="N35" s="54" t="s">
        <v>264</v>
      </c>
      <c r="O35" s="54" t="s">
        <v>265</v>
      </c>
      <c r="P35" s="51" t="s">
        <v>108</v>
      </c>
      <c r="Q35" s="58">
        <v>17242954</v>
      </c>
      <c r="R35" s="47" t="s">
        <v>138</v>
      </c>
    </row>
    <row r="36" spans="1:18" x14ac:dyDescent="0.25">
      <c r="A36" s="52">
        <v>35</v>
      </c>
      <c r="B36" s="61">
        <v>14531830</v>
      </c>
      <c r="C36" s="47" t="s">
        <v>266</v>
      </c>
      <c r="D36" s="47" t="s">
        <v>267</v>
      </c>
      <c r="E36" s="47" t="s">
        <v>130</v>
      </c>
      <c r="F36" s="53">
        <v>2247617</v>
      </c>
      <c r="G36" s="54">
        <v>43108</v>
      </c>
      <c r="H36" s="55">
        <v>8</v>
      </c>
      <c r="I36" s="46">
        <v>2026</v>
      </c>
      <c r="J36" s="56">
        <v>46235</v>
      </c>
      <c r="K36" s="56">
        <v>46280</v>
      </c>
      <c r="L36" s="57">
        <v>46</v>
      </c>
      <c r="M36" s="46">
        <v>2026</v>
      </c>
      <c r="N36" s="54" t="s">
        <v>268</v>
      </c>
      <c r="O36" s="54" t="s">
        <v>269</v>
      </c>
      <c r="P36" s="51" t="s">
        <v>108</v>
      </c>
      <c r="Q36" s="58">
        <v>17242954</v>
      </c>
      <c r="R36" s="47" t="s">
        <v>143</v>
      </c>
    </row>
    <row r="37" spans="1:18" x14ac:dyDescent="0.25">
      <c r="A37" s="52">
        <v>36</v>
      </c>
      <c r="B37" s="61">
        <v>14622890</v>
      </c>
      <c r="C37" s="47" t="s">
        <v>270</v>
      </c>
      <c r="D37" s="47" t="s">
        <v>271</v>
      </c>
      <c r="E37" s="47" t="s">
        <v>130</v>
      </c>
      <c r="F37" s="53">
        <v>2247619</v>
      </c>
      <c r="G37" s="54">
        <v>43473</v>
      </c>
      <c r="H37" s="55">
        <v>7</v>
      </c>
      <c r="I37" s="46">
        <v>2026</v>
      </c>
      <c r="J37" s="56">
        <v>46235</v>
      </c>
      <c r="K37" s="56">
        <v>46280</v>
      </c>
      <c r="L37" s="57">
        <v>46</v>
      </c>
      <c r="M37" s="46">
        <v>2026</v>
      </c>
      <c r="N37" s="54" t="s">
        <v>272</v>
      </c>
      <c r="O37" s="54" t="s">
        <v>273</v>
      </c>
      <c r="P37" s="51" t="s">
        <v>108</v>
      </c>
      <c r="Q37" s="58">
        <v>17242954</v>
      </c>
      <c r="R37" s="47" t="s">
        <v>138</v>
      </c>
    </row>
    <row r="38" spans="1:18" x14ac:dyDescent="0.25">
      <c r="A38" s="52">
        <v>37</v>
      </c>
      <c r="B38" s="62">
        <v>17113644</v>
      </c>
      <c r="C38" s="47" t="s">
        <v>270</v>
      </c>
      <c r="D38" s="47" t="s">
        <v>274</v>
      </c>
      <c r="E38" s="47" t="s">
        <v>130</v>
      </c>
      <c r="F38" s="53">
        <v>2094299</v>
      </c>
      <c r="G38" s="54" t="s">
        <v>275</v>
      </c>
      <c r="H38" s="55">
        <v>12</v>
      </c>
      <c r="I38" s="46">
        <v>2026</v>
      </c>
      <c r="J38" s="56">
        <v>46235</v>
      </c>
      <c r="K38" s="56">
        <v>46268</v>
      </c>
      <c r="L38" s="57">
        <v>34</v>
      </c>
      <c r="M38" s="46">
        <v>2026</v>
      </c>
      <c r="N38" s="54" t="s">
        <v>276</v>
      </c>
      <c r="O38" s="54" t="s">
        <v>277</v>
      </c>
      <c r="P38" s="51" t="s">
        <v>108</v>
      </c>
      <c r="Q38" s="58">
        <v>17242954</v>
      </c>
      <c r="R38" s="47" t="s">
        <v>278</v>
      </c>
    </row>
    <row r="39" spans="1:18" x14ac:dyDescent="0.25">
      <c r="A39" s="52">
        <v>38</v>
      </c>
      <c r="B39" s="61">
        <v>17463095</v>
      </c>
      <c r="C39" s="47" t="s">
        <v>270</v>
      </c>
      <c r="D39" s="47" t="s">
        <v>279</v>
      </c>
      <c r="E39" s="47" t="s">
        <v>130</v>
      </c>
      <c r="F39" s="53">
        <v>2247634</v>
      </c>
      <c r="G39" s="54">
        <v>43473</v>
      </c>
      <c r="H39" s="55">
        <v>7</v>
      </c>
      <c r="I39" s="46">
        <v>2026</v>
      </c>
      <c r="J39" s="56">
        <v>46235</v>
      </c>
      <c r="K39" s="56">
        <v>46280</v>
      </c>
      <c r="L39" s="57">
        <v>46</v>
      </c>
      <c r="M39" s="46">
        <v>2026</v>
      </c>
      <c r="N39" s="54" t="s">
        <v>280</v>
      </c>
      <c r="O39" s="54" t="s">
        <v>281</v>
      </c>
      <c r="P39" s="51" t="s">
        <v>108</v>
      </c>
      <c r="Q39" s="58">
        <v>17242954</v>
      </c>
      <c r="R39" s="47" t="s">
        <v>155</v>
      </c>
    </row>
    <row r="40" spans="1:18" x14ac:dyDescent="0.25">
      <c r="A40" s="52">
        <v>39</v>
      </c>
      <c r="B40" s="61">
        <v>20310911</v>
      </c>
      <c r="C40" s="47" t="s">
        <v>282</v>
      </c>
      <c r="D40" s="47" t="s">
        <v>283</v>
      </c>
      <c r="E40" s="47" t="s">
        <v>130</v>
      </c>
      <c r="F40" s="53">
        <v>8065634</v>
      </c>
      <c r="G40" s="54">
        <v>44942</v>
      </c>
      <c r="H40" s="55">
        <v>3</v>
      </c>
      <c r="I40" s="46">
        <v>2026</v>
      </c>
      <c r="J40" s="56">
        <v>46235</v>
      </c>
      <c r="K40" s="56">
        <v>46280</v>
      </c>
      <c r="L40" s="57">
        <v>46</v>
      </c>
      <c r="M40" s="46">
        <v>2026</v>
      </c>
      <c r="N40" s="54"/>
      <c r="O40" s="54" t="s">
        <v>284</v>
      </c>
      <c r="P40" s="51" t="s">
        <v>108</v>
      </c>
      <c r="Q40" s="58">
        <v>17242954</v>
      </c>
      <c r="R40" s="47" t="s">
        <v>155</v>
      </c>
    </row>
    <row r="41" spans="1:18" x14ac:dyDescent="0.25">
      <c r="A41" s="52">
        <v>40</v>
      </c>
      <c r="B41" s="61">
        <v>13656273</v>
      </c>
      <c r="C41" s="47" t="s">
        <v>285</v>
      </c>
      <c r="D41" s="47" t="s">
        <v>286</v>
      </c>
      <c r="E41" s="47" t="s">
        <v>130</v>
      </c>
      <c r="F41" s="53">
        <v>2121182</v>
      </c>
      <c r="G41" s="54">
        <v>39461</v>
      </c>
      <c r="H41" s="55">
        <v>18</v>
      </c>
      <c r="I41" s="46">
        <v>2026</v>
      </c>
      <c r="J41" s="56">
        <v>46235</v>
      </c>
      <c r="K41" s="56">
        <v>46280</v>
      </c>
      <c r="L41" s="57">
        <v>46</v>
      </c>
      <c r="M41" s="46">
        <v>2026</v>
      </c>
      <c r="N41" s="54" t="s">
        <v>287</v>
      </c>
      <c r="O41" s="54" t="s">
        <v>288</v>
      </c>
      <c r="P41" s="51" t="s">
        <v>108</v>
      </c>
      <c r="Q41" s="58">
        <v>17242954</v>
      </c>
      <c r="R41" s="47" t="s">
        <v>143</v>
      </c>
    </row>
    <row r="42" spans="1:18" x14ac:dyDescent="0.25">
      <c r="A42" s="52">
        <v>41</v>
      </c>
      <c r="B42" s="61">
        <v>17780095</v>
      </c>
      <c r="C42" s="47" t="s">
        <v>289</v>
      </c>
      <c r="D42" s="47" t="s">
        <v>290</v>
      </c>
      <c r="E42" s="47" t="s">
        <v>130</v>
      </c>
      <c r="F42" s="53">
        <v>2184717</v>
      </c>
      <c r="G42" s="54">
        <v>41127</v>
      </c>
      <c r="H42" s="55">
        <v>13</v>
      </c>
      <c r="I42" s="46">
        <v>2026</v>
      </c>
      <c r="J42" s="56">
        <v>46235</v>
      </c>
      <c r="K42" s="56">
        <v>46280</v>
      </c>
      <c r="L42" s="57">
        <v>46</v>
      </c>
      <c r="M42" s="46">
        <v>2026</v>
      </c>
      <c r="N42" s="54" t="s">
        <v>291</v>
      </c>
      <c r="O42" s="54" t="s">
        <v>292</v>
      </c>
      <c r="P42" s="51" t="s">
        <v>108</v>
      </c>
      <c r="Q42" s="58">
        <v>17242954</v>
      </c>
      <c r="R42" s="47" t="s">
        <v>293</v>
      </c>
    </row>
    <row r="43" spans="1:18" x14ac:dyDescent="0.25">
      <c r="A43" s="52">
        <v>42</v>
      </c>
      <c r="B43" s="61">
        <v>13814605</v>
      </c>
      <c r="C43" s="47" t="s">
        <v>294</v>
      </c>
      <c r="D43" s="47" t="s">
        <v>295</v>
      </c>
      <c r="E43" s="47" t="s">
        <v>130</v>
      </c>
      <c r="F43" s="53">
        <v>2142816</v>
      </c>
      <c r="G43" s="54">
        <v>39993</v>
      </c>
      <c r="H43" s="55">
        <v>16</v>
      </c>
      <c r="I43" s="46">
        <v>2026</v>
      </c>
      <c r="J43" s="56">
        <v>46235</v>
      </c>
      <c r="K43" s="56">
        <v>46280</v>
      </c>
      <c r="L43" s="57">
        <v>46</v>
      </c>
      <c r="M43" s="46">
        <v>2026</v>
      </c>
      <c r="N43" s="54" t="s">
        <v>296</v>
      </c>
      <c r="O43" s="54" t="s">
        <v>297</v>
      </c>
      <c r="P43" s="51" t="s">
        <v>108</v>
      </c>
      <c r="Q43" s="58">
        <v>17242954</v>
      </c>
      <c r="R43" s="47" t="s">
        <v>138</v>
      </c>
    </row>
    <row r="44" spans="1:18" x14ac:dyDescent="0.25">
      <c r="A44" s="52">
        <v>43</v>
      </c>
      <c r="B44" s="61">
        <v>14101477</v>
      </c>
      <c r="C44" s="47" t="s">
        <v>298</v>
      </c>
      <c r="D44" s="47" t="s">
        <v>299</v>
      </c>
      <c r="E44" s="47" t="s">
        <v>130</v>
      </c>
      <c r="F44" s="53">
        <v>2079835</v>
      </c>
      <c r="G44" s="54">
        <v>38412</v>
      </c>
      <c r="H44" s="55">
        <v>21</v>
      </c>
      <c r="I44" s="46">
        <v>2026</v>
      </c>
      <c r="J44" s="56">
        <v>46235</v>
      </c>
      <c r="K44" s="56">
        <v>46280</v>
      </c>
      <c r="L44" s="57">
        <v>46</v>
      </c>
      <c r="M44" s="46">
        <v>2026</v>
      </c>
      <c r="N44" s="54" t="s">
        <v>300</v>
      </c>
      <c r="O44" s="54" t="s">
        <v>301</v>
      </c>
      <c r="P44" s="51" t="s">
        <v>108</v>
      </c>
      <c r="Q44" s="58">
        <v>17242954</v>
      </c>
      <c r="R44" s="47" t="s">
        <v>198</v>
      </c>
    </row>
    <row r="45" spans="1:18" x14ac:dyDescent="0.25">
      <c r="A45" s="52">
        <v>44</v>
      </c>
      <c r="B45" s="61">
        <v>13915005</v>
      </c>
      <c r="C45" s="47" t="s">
        <v>302</v>
      </c>
      <c r="D45" s="47" t="s">
        <v>303</v>
      </c>
      <c r="E45" s="47" t="s">
        <v>130</v>
      </c>
      <c r="F45" s="53">
        <v>4005267</v>
      </c>
      <c r="G45" s="54">
        <v>37907</v>
      </c>
      <c r="H45" s="55">
        <v>22</v>
      </c>
      <c r="I45" s="46">
        <v>2026</v>
      </c>
      <c r="J45" s="56">
        <v>46235</v>
      </c>
      <c r="K45" s="56">
        <v>46280</v>
      </c>
      <c r="L45" s="57">
        <v>46</v>
      </c>
      <c r="M45" s="46">
        <v>2026</v>
      </c>
      <c r="N45" s="54" t="s">
        <v>304</v>
      </c>
      <c r="O45" s="54" t="s">
        <v>305</v>
      </c>
      <c r="P45" s="51" t="s">
        <v>108</v>
      </c>
      <c r="Q45" s="58">
        <v>17242954</v>
      </c>
      <c r="R45" s="47" t="s">
        <v>138</v>
      </c>
    </row>
    <row r="46" spans="1:18" x14ac:dyDescent="0.25">
      <c r="A46" s="52">
        <v>45</v>
      </c>
      <c r="B46" s="61">
        <v>11830987</v>
      </c>
      <c r="C46" s="47" t="s">
        <v>306</v>
      </c>
      <c r="D46" s="47" t="s">
        <v>307</v>
      </c>
      <c r="E46" s="47" t="s">
        <v>130</v>
      </c>
      <c r="F46" s="53">
        <v>2053406</v>
      </c>
      <c r="G46" s="54">
        <v>37151</v>
      </c>
      <c r="H46" s="55">
        <v>24</v>
      </c>
      <c r="I46" s="46">
        <v>2026</v>
      </c>
      <c r="J46" s="56">
        <v>46235</v>
      </c>
      <c r="K46" s="56">
        <v>46280</v>
      </c>
      <c r="L46" s="57">
        <v>46</v>
      </c>
      <c r="M46" s="46">
        <v>2026</v>
      </c>
      <c r="N46" s="54" t="s">
        <v>308</v>
      </c>
      <c r="O46" s="54" t="s">
        <v>309</v>
      </c>
      <c r="P46" s="51" t="s">
        <v>108</v>
      </c>
      <c r="Q46" s="58">
        <v>17242954</v>
      </c>
      <c r="R46" s="47" t="s">
        <v>310</v>
      </c>
    </row>
    <row r="47" spans="1:18" x14ac:dyDescent="0.25">
      <c r="A47" s="52">
        <v>46</v>
      </c>
      <c r="B47" s="61">
        <v>15044802</v>
      </c>
      <c r="C47" s="47" t="s">
        <v>311</v>
      </c>
      <c r="D47" s="47" t="s">
        <v>312</v>
      </c>
      <c r="E47" s="47" t="s">
        <v>130</v>
      </c>
      <c r="F47" s="53">
        <v>2247632</v>
      </c>
      <c r="G47" s="54">
        <v>43473</v>
      </c>
      <c r="H47" s="55">
        <v>7</v>
      </c>
      <c r="I47" s="46">
        <v>2026</v>
      </c>
      <c r="J47" s="56">
        <v>46235</v>
      </c>
      <c r="K47" s="56">
        <v>46280</v>
      </c>
      <c r="L47" s="57">
        <v>46</v>
      </c>
      <c r="M47" s="46">
        <v>2026</v>
      </c>
      <c r="N47" s="54" t="s">
        <v>313</v>
      </c>
      <c r="O47" s="54" t="s">
        <v>314</v>
      </c>
      <c r="P47" s="51" t="s">
        <v>108</v>
      </c>
      <c r="Q47" s="58">
        <v>17242954</v>
      </c>
      <c r="R47" s="47" t="s">
        <v>138</v>
      </c>
    </row>
    <row r="48" spans="1:18" x14ac:dyDescent="0.25">
      <c r="A48" s="52">
        <v>47</v>
      </c>
      <c r="B48" s="61">
        <v>22714341</v>
      </c>
      <c r="C48" s="47" t="s">
        <v>315</v>
      </c>
      <c r="D48" s="47" t="s">
        <v>316</v>
      </c>
      <c r="E48" s="47" t="s">
        <v>130</v>
      </c>
      <c r="F48" s="53">
        <v>2247676</v>
      </c>
      <c r="G48" s="54">
        <v>43473</v>
      </c>
      <c r="H48" s="55">
        <v>7</v>
      </c>
      <c r="I48" s="46">
        <v>2026</v>
      </c>
      <c r="J48" s="56">
        <v>46235</v>
      </c>
      <c r="K48" s="56">
        <v>46280</v>
      </c>
      <c r="L48" s="57">
        <v>46</v>
      </c>
      <c r="M48" s="46">
        <v>2026</v>
      </c>
      <c r="N48" s="54" t="s">
        <v>317</v>
      </c>
      <c r="O48" s="54" t="s">
        <v>318</v>
      </c>
      <c r="P48" s="51" t="s">
        <v>108</v>
      </c>
      <c r="Q48" s="58">
        <v>17242954</v>
      </c>
      <c r="R48" s="47" t="s">
        <v>138</v>
      </c>
    </row>
    <row r="49" spans="1:18" x14ac:dyDescent="0.25">
      <c r="A49" s="52">
        <v>48</v>
      </c>
      <c r="B49" s="61">
        <v>19079457</v>
      </c>
      <c r="C49" s="47" t="s">
        <v>319</v>
      </c>
      <c r="D49" s="47" t="s">
        <v>320</v>
      </c>
      <c r="E49" s="47" t="s">
        <v>130</v>
      </c>
      <c r="F49" s="53">
        <v>2247621</v>
      </c>
      <c r="G49" s="54">
        <v>43473</v>
      </c>
      <c r="H49" s="55">
        <v>7</v>
      </c>
      <c r="I49" s="46">
        <v>2026</v>
      </c>
      <c r="J49" s="56">
        <v>46235</v>
      </c>
      <c r="K49" s="56">
        <v>46280</v>
      </c>
      <c r="L49" s="57">
        <v>46</v>
      </c>
      <c r="M49" s="46">
        <v>2026</v>
      </c>
      <c r="N49" s="54" t="s">
        <v>321</v>
      </c>
      <c r="O49" s="54" t="s">
        <v>322</v>
      </c>
      <c r="P49" s="51" t="s">
        <v>108</v>
      </c>
      <c r="Q49" s="58">
        <v>17242954</v>
      </c>
      <c r="R49" s="47" t="s">
        <v>138</v>
      </c>
    </row>
    <row r="50" spans="1:18" x14ac:dyDescent="0.25">
      <c r="A50" s="52">
        <v>49</v>
      </c>
      <c r="B50" s="61">
        <v>16174810</v>
      </c>
      <c r="C50" s="47" t="s">
        <v>323</v>
      </c>
      <c r="D50" s="47" t="s">
        <v>324</v>
      </c>
      <c r="E50" s="47" t="s">
        <v>130</v>
      </c>
      <c r="F50" s="53">
        <v>2247633</v>
      </c>
      <c r="G50" s="54">
        <v>43837</v>
      </c>
      <c r="H50" s="55">
        <v>6</v>
      </c>
      <c r="I50" s="46">
        <v>2026</v>
      </c>
      <c r="J50" s="56">
        <v>46235</v>
      </c>
      <c r="K50" s="56">
        <v>46280</v>
      </c>
      <c r="L50" s="57">
        <v>46</v>
      </c>
      <c r="M50" s="46">
        <v>2026</v>
      </c>
      <c r="N50" s="54" t="s">
        <v>325</v>
      </c>
      <c r="O50" s="54" t="s">
        <v>326</v>
      </c>
      <c r="P50" s="51" t="s">
        <v>108</v>
      </c>
      <c r="Q50" s="58">
        <v>17242954</v>
      </c>
      <c r="R50" s="47" t="s">
        <v>138</v>
      </c>
    </row>
    <row r="51" spans="1:18" x14ac:dyDescent="0.25">
      <c r="A51" s="52">
        <v>50</v>
      </c>
      <c r="B51" s="61">
        <v>9286272</v>
      </c>
      <c r="C51" s="47" t="s">
        <v>327</v>
      </c>
      <c r="D51" s="47" t="s">
        <v>328</v>
      </c>
      <c r="E51" s="47" t="s">
        <v>130</v>
      </c>
      <c r="F51" s="53">
        <v>2031973</v>
      </c>
      <c r="G51" s="54">
        <v>34613</v>
      </c>
      <c r="H51" s="55">
        <v>31</v>
      </c>
      <c r="I51" s="46">
        <v>2026</v>
      </c>
      <c r="J51" s="56">
        <v>46235</v>
      </c>
      <c r="K51" s="56">
        <v>46280</v>
      </c>
      <c r="L51" s="57">
        <v>46</v>
      </c>
      <c r="M51" s="46">
        <v>2026</v>
      </c>
      <c r="N51" s="54" t="s">
        <v>329</v>
      </c>
      <c r="O51" s="54" t="s">
        <v>330</v>
      </c>
      <c r="P51" s="51" t="s">
        <v>108</v>
      </c>
      <c r="Q51" s="58">
        <v>17242954</v>
      </c>
      <c r="R51" s="47" t="s">
        <v>138</v>
      </c>
    </row>
    <row r="52" spans="1:18" x14ac:dyDescent="0.25">
      <c r="A52" s="52">
        <v>51</v>
      </c>
      <c r="B52" s="63">
        <v>18983523</v>
      </c>
      <c r="C52" s="47" t="s">
        <v>331</v>
      </c>
      <c r="D52" s="47" t="s">
        <v>332</v>
      </c>
      <c r="E52" s="47" t="s">
        <v>130</v>
      </c>
      <c r="F52" s="53">
        <v>8065751</v>
      </c>
      <c r="G52" s="54">
        <v>44942</v>
      </c>
      <c r="H52" s="55">
        <v>3</v>
      </c>
      <c r="I52" s="46">
        <v>2026</v>
      </c>
      <c r="J52" s="56">
        <v>46235</v>
      </c>
      <c r="K52" s="56">
        <v>46280</v>
      </c>
      <c r="L52" s="57">
        <v>46</v>
      </c>
      <c r="M52" s="46">
        <v>2026</v>
      </c>
      <c r="N52" s="54"/>
      <c r="O52" s="54" t="s">
        <v>333</v>
      </c>
      <c r="P52" s="51" t="s">
        <v>108</v>
      </c>
      <c r="Q52" s="58">
        <v>17242954</v>
      </c>
      <c r="R52" s="47" t="s">
        <v>138</v>
      </c>
    </row>
    <row r="53" spans="1:18" x14ac:dyDescent="0.25">
      <c r="A53" s="52">
        <v>52</v>
      </c>
      <c r="B53" s="61">
        <v>22725746</v>
      </c>
      <c r="C53" s="47" t="s">
        <v>334</v>
      </c>
      <c r="D53" s="47" t="s">
        <v>335</v>
      </c>
      <c r="E53" s="47" t="s">
        <v>130</v>
      </c>
      <c r="F53" s="53">
        <v>8065651</v>
      </c>
      <c r="G53" s="54">
        <v>44942</v>
      </c>
      <c r="H53" s="55">
        <v>3</v>
      </c>
      <c r="I53" s="46">
        <v>2026</v>
      </c>
      <c r="J53" s="56">
        <v>46235</v>
      </c>
      <c r="K53" s="56">
        <v>46280</v>
      </c>
      <c r="L53" s="57">
        <v>46</v>
      </c>
      <c r="M53" s="46">
        <v>2026</v>
      </c>
      <c r="N53" s="54"/>
      <c r="O53" s="54" t="s">
        <v>336</v>
      </c>
      <c r="P53" s="51" t="s">
        <v>108</v>
      </c>
      <c r="Q53" s="58">
        <v>17242954</v>
      </c>
      <c r="R53" s="47" t="s">
        <v>138</v>
      </c>
    </row>
    <row r="54" spans="1:18" x14ac:dyDescent="0.25">
      <c r="A54" s="52">
        <v>53</v>
      </c>
      <c r="B54" s="63">
        <v>17092720</v>
      </c>
      <c r="C54" s="47" t="s">
        <v>337</v>
      </c>
      <c r="D54" s="47" t="s">
        <v>338</v>
      </c>
      <c r="E54" s="47" t="s">
        <v>130</v>
      </c>
      <c r="F54" s="53">
        <v>2118795</v>
      </c>
      <c r="G54" s="54">
        <v>39387</v>
      </c>
      <c r="H54" s="55">
        <v>18</v>
      </c>
      <c r="I54" s="46">
        <v>2026</v>
      </c>
      <c r="J54" s="56">
        <v>46235</v>
      </c>
      <c r="K54" s="56">
        <v>46280</v>
      </c>
      <c r="L54" s="57">
        <v>46</v>
      </c>
      <c r="M54" s="46">
        <v>2026</v>
      </c>
      <c r="N54" s="54" t="s">
        <v>339</v>
      </c>
      <c r="O54" s="54" t="s">
        <v>340</v>
      </c>
      <c r="P54" s="51" t="s">
        <v>108</v>
      </c>
      <c r="Q54" s="58">
        <v>17242954</v>
      </c>
      <c r="R54" s="47" t="s">
        <v>155</v>
      </c>
    </row>
    <row r="55" spans="1:18" x14ac:dyDescent="0.25">
      <c r="A55" s="52">
        <v>54</v>
      </c>
      <c r="B55" s="61">
        <v>18174495</v>
      </c>
      <c r="C55" s="47" t="s">
        <v>341</v>
      </c>
      <c r="D55" s="47" t="s">
        <v>342</v>
      </c>
      <c r="E55" s="47" t="s">
        <v>130</v>
      </c>
      <c r="F55" s="53">
        <v>8065628</v>
      </c>
      <c r="G55" s="54">
        <v>44942</v>
      </c>
      <c r="H55" s="55">
        <v>3</v>
      </c>
      <c r="I55" s="46">
        <v>2026</v>
      </c>
      <c r="J55" s="56">
        <v>46235</v>
      </c>
      <c r="K55" s="56">
        <v>46280</v>
      </c>
      <c r="L55" s="57">
        <v>46</v>
      </c>
      <c r="M55" s="46">
        <v>2026</v>
      </c>
      <c r="N55" s="54"/>
      <c r="O55" s="54" t="s">
        <v>343</v>
      </c>
      <c r="P55" s="51" t="s">
        <v>108</v>
      </c>
      <c r="Q55" s="58">
        <v>17242954</v>
      </c>
      <c r="R55" s="47" t="s">
        <v>143</v>
      </c>
    </row>
    <row r="56" spans="1:18" x14ac:dyDescent="0.25">
      <c r="A56" s="52">
        <v>55</v>
      </c>
      <c r="B56" s="61">
        <v>19875121</v>
      </c>
      <c r="C56" s="47" t="s">
        <v>344</v>
      </c>
      <c r="D56" s="47" t="s">
        <v>345</v>
      </c>
      <c r="E56" s="47" t="s">
        <v>130</v>
      </c>
      <c r="F56" s="53">
        <v>2209453</v>
      </c>
      <c r="G56" s="54">
        <v>41754</v>
      </c>
      <c r="H56" s="55">
        <v>12</v>
      </c>
      <c r="I56" s="46">
        <v>2026</v>
      </c>
      <c r="J56" s="56">
        <v>46235</v>
      </c>
      <c r="K56" s="56">
        <v>46280</v>
      </c>
      <c r="L56" s="57">
        <v>46</v>
      </c>
      <c r="M56" s="46">
        <v>2026</v>
      </c>
      <c r="N56" s="54" t="s">
        <v>346</v>
      </c>
      <c r="O56" s="54" t="s">
        <v>347</v>
      </c>
      <c r="P56" s="51" t="s">
        <v>108</v>
      </c>
      <c r="Q56" s="58">
        <v>17242954</v>
      </c>
      <c r="R56" s="47" t="s">
        <v>138</v>
      </c>
    </row>
    <row r="57" spans="1:18" x14ac:dyDescent="0.25">
      <c r="A57" s="52">
        <v>56</v>
      </c>
      <c r="B57" s="61">
        <v>16397151</v>
      </c>
      <c r="C57" s="47" t="s">
        <v>348</v>
      </c>
      <c r="D57" s="47" t="s">
        <v>349</v>
      </c>
      <c r="E57" s="47" t="s">
        <v>130</v>
      </c>
      <c r="F57" s="53">
        <v>2184716</v>
      </c>
      <c r="G57" s="54">
        <v>41127</v>
      </c>
      <c r="H57" s="55">
        <v>13</v>
      </c>
      <c r="I57" s="46">
        <v>2026</v>
      </c>
      <c r="J57" s="56">
        <v>46235</v>
      </c>
      <c r="K57" s="56">
        <v>46280</v>
      </c>
      <c r="L57" s="57">
        <v>46</v>
      </c>
      <c r="M57" s="46">
        <v>2026</v>
      </c>
      <c r="N57" s="54" t="s">
        <v>350</v>
      </c>
      <c r="O57" s="54" t="s">
        <v>351</v>
      </c>
      <c r="P57" s="51" t="s">
        <v>108</v>
      </c>
      <c r="Q57" s="58">
        <v>17242954</v>
      </c>
      <c r="R57" s="47" t="s">
        <v>138</v>
      </c>
    </row>
    <row r="58" spans="1:18" x14ac:dyDescent="0.25">
      <c r="A58" s="52">
        <v>57</v>
      </c>
      <c r="B58" s="61">
        <v>11381867</v>
      </c>
      <c r="C58" s="47" t="s">
        <v>352</v>
      </c>
      <c r="D58" s="47" t="s">
        <v>353</v>
      </c>
      <c r="E58" s="47" t="s">
        <v>130</v>
      </c>
      <c r="F58" s="53">
        <v>2094299</v>
      </c>
      <c r="G58" s="54">
        <v>38784</v>
      </c>
      <c r="H58" s="55">
        <v>20</v>
      </c>
      <c r="I58" s="46">
        <v>2026</v>
      </c>
      <c r="J58" s="56">
        <v>46235</v>
      </c>
      <c r="K58" s="56">
        <v>46268</v>
      </c>
      <c r="L58" s="57">
        <v>34</v>
      </c>
      <c r="M58" s="46">
        <v>2026</v>
      </c>
      <c r="N58" s="54" t="s">
        <v>354</v>
      </c>
      <c r="O58" s="54" t="s">
        <v>355</v>
      </c>
      <c r="P58" s="51" t="s">
        <v>108</v>
      </c>
      <c r="Q58" s="58">
        <v>17242954</v>
      </c>
      <c r="R58" s="47" t="s">
        <v>356</v>
      </c>
    </row>
    <row r="59" spans="1:18" x14ac:dyDescent="0.25">
      <c r="A59" s="52">
        <v>58</v>
      </c>
      <c r="B59" s="61">
        <v>19415615</v>
      </c>
      <c r="C59" s="47" t="s">
        <v>357</v>
      </c>
      <c r="D59" s="47" t="s">
        <v>358</v>
      </c>
      <c r="E59" s="47" t="s">
        <v>130</v>
      </c>
      <c r="F59" s="53">
        <v>2247670</v>
      </c>
      <c r="G59" s="54">
        <v>43473</v>
      </c>
      <c r="H59" s="55">
        <v>7</v>
      </c>
      <c r="I59" s="46">
        <v>2026</v>
      </c>
      <c r="J59" s="56">
        <v>46235</v>
      </c>
      <c r="K59" s="56">
        <v>46280</v>
      </c>
      <c r="L59" s="57">
        <v>46</v>
      </c>
      <c r="M59" s="46">
        <v>2026</v>
      </c>
      <c r="N59" s="54" t="s">
        <v>359</v>
      </c>
      <c r="O59" s="54" t="s">
        <v>360</v>
      </c>
      <c r="P59" s="51" t="s">
        <v>108</v>
      </c>
      <c r="Q59" s="58">
        <v>17242954</v>
      </c>
      <c r="R59" s="47" t="s">
        <v>138</v>
      </c>
    </row>
    <row r="60" spans="1:18" x14ac:dyDescent="0.25">
      <c r="A60" s="52">
        <v>59</v>
      </c>
      <c r="B60" s="61">
        <v>17242954</v>
      </c>
      <c r="C60" s="47" t="s">
        <v>361</v>
      </c>
      <c r="D60" s="47" t="s">
        <v>320</v>
      </c>
      <c r="E60" s="47" t="s">
        <v>130</v>
      </c>
      <c r="F60" s="53">
        <v>2124625</v>
      </c>
      <c r="G60" s="54" t="s">
        <v>362</v>
      </c>
      <c r="H60" s="55">
        <v>18</v>
      </c>
      <c r="I60" s="46">
        <v>2026</v>
      </c>
      <c r="J60" s="56">
        <v>46235</v>
      </c>
      <c r="K60" s="56">
        <v>46268</v>
      </c>
      <c r="L60" s="57">
        <v>34</v>
      </c>
      <c r="M60" s="46">
        <v>2026</v>
      </c>
      <c r="N60" s="54" t="s">
        <v>363</v>
      </c>
      <c r="O60" s="54" t="s">
        <v>364</v>
      </c>
      <c r="P60" s="51" t="s">
        <v>365</v>
      </c>
      <c r="Q60" s="59">
        <v>16939125</v>
      </c>
      <c r="R60" s="47" t="s">
        <v>366</v>
      </c>
    </row>
    <row r="61" spans="1:18" x14ac:dyDescent="0.25">
      <c r="A61" s="52">
        <v>60</v>
      </c>
      <c r="B61" s="61">
        <v>14110180</v>
      </c>
      <c r="C61" s="47" t="s">
        <v>367</v>
      </c>
      <c r="D61" s="47" t="s">
        <v>161</v>
      </c>
      <c r="E61" s="47" t="s">
        <v>130</v>
      </c>
      <c r="F61" s="53">
        <v>2177723</v>
      </c>
      <c r="G61" s="54">
        <v>41008</v>
      </c>
      <c r="H61" s="55">
        <v>14</v>
      </c>
      <c r="I61" s="46">
        <v>2026</v>
      </c>
      <c r="J61" s="56">
        <v>46235</v>
      </c>
      <c r="K61" s="56">
        <v>46280</v>
      </c>
      <c r="L61" s="57">
        <v>46</v>
      </c>
      <c r="M61" s="46">
        <v>2026</v>
      </c>
      <c r="N61" s="54" t="s">
        <v>368</v>
      </c>
      <c r="O61" s="54" t="s">
        <v>369</v>
      </c>
      <c r="P61" s="51" t="s">
        <v>108</v>
      </c>
      <c r="Q61" s="58">
        <v>17242954</v>
      </c>
      <c r="R61" s="47" t="s">
        <v>370</v>
      </c>
    </row>
    <row r="62" spans="1:18" x14ac:dyDescent="0.25">
      <c r="A62" s="52">
        <v>61</v>
      </c>
      <c r="B62" s="64">
        <v>16396448</v>
      </c>
      <c r="C62" s="47" t="s">
        <v>371</v>
      </c>
      <c r="D62" s="47" t="s">
        <v>372</v>
      </c>
      <c r="E62" s="47" t="s">
        <v>373</v>
      </c>
      <c r="F62" s="53">
        <v>8044815</v>
      </c>
      <c r="G62" s="54" t="s">
        <v>374</v>
      </c>
      <c r="H62" s="55">
        <v>6</v>
      </c>
      <c r="I62" s="46">
        <v>2026</v>
      </c>
      <c r="J62" s="56">
        <v>46235</v>
      </c>
      <c r="K62" s="56">
        <v>46280</v>
      </c>
      <c r="L62" s="57">
        <v>46</v>
      </c>
      <c r="M62" s="57">
        <v>2026</v>
      </c>
      <c r="N62" s="54" t="s">
        <v>375</v>
      </c>
      <c r="O62" s="54" t="s">
        <v>376</v>
      </c>
      <c r="P62" s="51" t="s">
        <v>108</v>
      </c>
      <c r="Q62" s="58">
        <v>17242954</v>
      </c>
      <c r="R62" s="47" t="s">
        <v>138</v>
      </c>
    </row>
    <row r="63" spans="1:18" x14ac:dyDescent="0.25">
      <c r="A63" s="52">
        <v>62</v>
      </c>
      <c r="B63" s="61">
        <v>11842683</v>
      </c>
      <c r="C63" s="47" t="s">
        <v>377</v>
      </c>
      <c r="D63" s="47" t="s">
        <v>378</v>
      </c>
      <c r="E63" s="47" t="s">
        <v>373</v>
      </c>
      <c r="F63" s="53">
        <v>2138239</v>
      </c>
      <c r="G63" s="54" t="s">
        <v>379</v>
      </c>
      <c r="H63" s="55">
        <v>17</v>
      </c>
      <c r="I63" s="46">
        <v>2026</v>
      </c>
      <c r="J63" s="56">
        <v>46235</v>
      </c>
      <c r="K63" s="56">
        <v>46280</v>
      </c>
      <c r="L63" s="57">
        <v>46</v>
      </c>
      <c r="M63" s="57">
        <v>2026</v>
      </c>
      <c r="N63" s="54" t="s">
        <v>380</v>
      </c>
      <c r="O63" s="54" t="s">
        <v>381</v>
      </c>
      <c r="P63" s="51" t="s">
        <v>108</v>
      </c>
      <c r="Q63" s="58">
        <v>17242954</v>
      </c>
      <c r="R63" s="47" t="s">
        <v>155</v>
      </c>
    </row>
    <row r="64" spans="1:18" x14ac:dyDescent="0.25">
      <c r="A64" s="52">
        <v>63</v>
      </c>
      <c r="B64" s="64">
        <v>12362435</v>
      </c>
      <c r="C64" s="47" t="s">
        <v>377</v>
      </c>
      <c r="D64" s="47" t="s">
        <v>382</v>
      </c>
      <c r="E64" s="47" t="s">
        <v>373</v>
      </c>
      <c r="F64" s="53">
        <v>8044792</v>
      </c>
      <c r="G64" s="54" t="s">
        <v>374</v>
      </c>
      <c r="H64" s="55">
        <v>6</v>
      </c>
      <c r="I64" s="46">
        <v>2026</v>
      </c>
      <c r="J64" s="56">
        <v>46235</v>
      </c>
      <c r="K64" s="56">
        <v>46280</v>
      </c>
      <c r="L64" s="57">
        <v>46</v>
      </c>
      <c r="M64" s="57">
        <v>2026</v>
      </c>
      <c r="N64" s="54" t="s">
        <v>383</v>
      </c>
      <c r="O64" s="54" t="s">
        <v>384</v>
      </c>
      <c r="P64" s="51" t="s">
        <v>108</v>
      </c>
      <c r="Q64" s="58">
        <v>17242954</v>
      </c>
      <c r="R64" s="47" t="s">
        <v>198</v>
      </c>
    </row>
    <row r="65" spans="1:18" x14ac:dyDescent="0.25">
      <c r="A65" s="52">
        <v>64</v>
      </c>
      <c r="B65" s="64">
        <v>18983704</v>
      </c>
      <c r="C65" s="47" t="s">
        <v>385</v>
      </c>
      <c r="D65" s="47" t="s">
        <v>386</v>
      </c>
      <c r="E65" s="47" t="s">
        <v>373</v>
      </c>
      <c r="F65" s="53">
        <v>8044826</v>
      </c>
      <c r="G65" s="54" t="s">
        <v>374</v>
      </c>
      <c r="H65" s="55">
        <v>6</v>
      </c>
      <c r="I65" s="46">
        <v>2026</v>
      </c>
      <c r="J65" s="56">
        <v>46235</v>
      </c>
      <c r="K65" s="56">
        <v>46280</v>
      </c>
      <c r="L65" s="57">
        <v>46</v>
      </c>
      <c r="M65" s="57">
        <v>2026</v>
      </c>
      <c r="N65" s="54" t="s">
        <v>387</v>
      </c>
      <c r="O65" s="54" t="s">
        <v>388</v>
      </c>
      <c r="P65" s="51" t="s">
        <v>108</v>
      </c>
      <c r="Q65" s="58">
        <v>17242954</v>
      </c>
      <c r="R65" s="47" t="s">
        <v>172</v>
      </c>
    </row>
    <row r="66" spans="1:18" x14ac:dyDescent="0.25">
      <c r="A66" s="52">
        <v>65</v>
      </c>
      <c r="B66" s="61">
        <v>15510687</v>
      </c>
      <c r="C66" s="47" t="s">
        <v>389</v>
      </c>
      <c r="D66" s="47" t="s">
        <v>390</v>
      </c>
      <c r="E66" s="47" t="s">
        <v>373</v>
      </c>
      <c r="F66" s="53">
        <v>2129791</v>
      </c>
      <c r="G66" s="54" t="s">
        <v>391</v>
      </c>
      <c r="H66" s="55">
        <v>17</v>
      </c>
      <c r="I66" s="46">
        <v>2026</v>
      </c>
      <c r="J66" s="56">
        <v>46235</v>
      </c>
      <c r="K66" s="56">
        <v>46280</v>
      </c>
      <c r="L66" s="57">
        <v>46</v>
      </c>
      <c r="M66" s="57">
        <v>2026</v>
      </c>
      <c r="N66" s="54" t="s">
        <v>392</v>
      </c>
      <c r="O66" s="54" t="s">
        <v>393</v>
      </c>
      <c r="P66" s="51" t="s">
        <v>108</v>
      </c>
      <c r="Q66" s="58">
        <v>17242954</v>
      </c>
      <c r="R66" s="47" t="s">
        <v>155</v>
      </c>
    </row>
    <row r="67" spans="1:18" x14ac:dyDescent="0.25">
      <c r="A67" s="52">
        <v>66</v>
      </c>
      <c r="B67" s="61">
        <v>21499609</v>
      </c>
      <c r="C67" s="47" t="s">
        <v>394</v>
      </c>
      <c r="D67" s="47" t="s">
        <v>395</v>
      </c>
      <c r="E67" s="47" t="s">
        <v>373</v>
      </c>
      <c r="F67" s="53">
        <v>8050006</v>
      </c>
      <c r="G67" s="54">
        <v>44008</v>
      </c>
      <c r="H67" s="55">
        <v>5</v>
      </c>
      <c r="I67" s="46">
        <v>2026</v>
      </c>
      <c r="J67" s="56">
        <v>46235</v>
      </c>
      <c r="K67" s="56">
        <v>46280</v>
      </c>
      <c r="L67" s="57">
        <v>46</v>
      </c>
      <c r="M67" s="57">
        <v>2026</v>
      </c>
      <c r="N67" s="54"/>
      <c r="O67" s="54" t="s">
        <v>396</v>
      </c>
      <c r="P67" s="51" t="s">
        <v>108</v>
      </c>
      <c r="Q67" s="58">
        <v>17242954</v>
      </c>
      <c r="R67" s="47" t="s">
        <v>138</v>
      </c>
    </row>
    <row r="68" spans="1:18" x14ac:dyDescent="0.25">
      <c r="A68" s="52">
        <v>67</v>
      </c>
      <c r="B68" s="64">
        <v>14192913</v>
      </c>
      <c r="C68" s="47" t="s">
        <v>397</v>
      </c>
      <c r="D68" s="47" t="s">
        <v>398</v>
      </c>
      <c r="E68" s="47" t="s">
        <v>373</v>
      </c>
      <c r="F68" s="53">
        <v>8044825</v>
      </c>
      <c r="G68" s="54">
        <v>43707</v>
      </c>
      <c r="H68" s="55">
        <v>6</v>
      </c>
      <c r="I68" s="46">
        <v>2026</v>
      </c>
      <c r="J68" s="56">
        <v>46235</v>
      </c>
      <c r="K68" s="56">
        <v>46280</v>
      </c>
      <c r="L68" s="57">
        <v>46</v>
      </c>
      <c r="M68" s="57">
        <v>2026</v>
      </c>
      <c r="N68" s="54"/>
      <c r="O68" s="54" t="s">
        <v>399</v>
      </c>
      <c r="P68" s="51" t="s">
        <v>108</v>
      </c>
      <c r="Q68" s="58">
        <v>17242954</v>
      </c>
      <c r="R68" s="47" t="s">
        <v>400</v>
      </c>
    </row>
    <row r="69" spans="1:18" x14ac:dyDescent="0.25">
      <c r="A69" s="52">
        <v>68</v>
      </c>
      <c r="B69" s="63">
        <v>17487413</v>
      </c>
      <c r="C69" s="47" t="s">
        <v>156</v>
      </c>
      <c r="D69" s="47" t="s">
        <v>401</v>
      </c>
      <c r="E69" s="47" t="s">
        <v>373</v>
      </c>
      <c r="F69" s="53">
        <v>2184715</v>
      </c>
      <c r="G69" s="54" t="s">
        <v>402</v>
      </c>
      <c r="H69" s="55">
        <v>13</v>
      </c>
      <c r="I69" s="46">
        <v>2026</v>
      </c>
      <c r="J69" s="56">
        <v>46235</v>
      </c>
      <c r="K69" s="56">
        <v>46280</v>
      </c>
      <c r="L69" s="57">
        <v>46</v>
      </c>
      <c r="M69" s="57">
        <v>2026</v>
      </c>
      <c r="N69" s="54" t="s">
        <v>403</v>
      </c>
      <c r="O69" s="54" t="s">
        <v>404</v>
      </c>
      <c r="P69" s="51" t="s">
        <v>108</v>
      </c>
      <c r="Q69" s="58">
        <v>17242954</v>
      </c>
      <c r="R69" s="47" t="s">
        <v>138</v>
      </c>
    </row>
    <row r="70" spans="1:18" x14ac:dyDescent="0.25">
      <c r="A70" s="52">
        <v>69</v>
      </c>
      <c r="B70" s="61">
        <v>18165536</v>
      </c>
      <c r="C70" s="47" t="s">
        <v>405</v>
      </c>
      <c r="D70" s="47" t="s">
        <v>406</v>
      </c>
      <c r="E70" s="47" t="s">
        <v>373</v>
      </c>
      <c r="F70" s="53">
        <v>8059721</v>
      </c>
      <c r="G70" s="54">
        <v>44635</v>
      </c>
      <c r="H70" s="55">
        <v>4</v>
      </c>
      <c r="I70" s="46">
        <v>2026</v>
      </c>
      <c r="J70" s="56">
        <v>46235</v>
      </c>
      <c r="K70" s="56">
        <v>46280</v>
      </c>
      <c r="L70" s="57">
        <v>46</v>
      </c>
      <c r="M70" s="57">
        <v>2026</v>
      </c>
      <c r="N70" s="54"/>
      <c r="O70" s="54" t="s">
        <v>407</v>
      </c>
      <c r="P70" s="51" t="s">
        <v>108</v>
      </c>
      <c r="Q70" s="58">
        <v>17242954</v>
      </c>
      <c r="R70" s="47" t="s">
        <v>138</v>
      </c>
    </row>
    <row r="71" spans="1:18" x14ac:dyDescent="0.25">
      <c r="A71" s="52">
        <v>70</v>
      </c>
      <c r="B71" s="61">
        <v>15322399</v>
      </c>
      <c r="C71" s="47" t="s">
        <v>408</v>
      </c>
      <c r="D71" s="47" t="s">
        <v>409</v>
      </c>
      <c r="E71" s="47" t="s">
        <v>373</v>
      </c>
      <c r="F71" s="53">
        <v>2094303</v>
      </c>
      <c r="G71" s="54" t="s">
        <v>410</v>
      </c>
      <c r="H71" s="55">
        <v>20</v>
      </c>
      <c r="I71" s="46">
        <v>2026</v>
      </c>
      <c r="J71" s="56">
        <v>46235</v>
      </c>
      <c r="K71" s="56">
        <v>46280</v>
      </c>
      <c r="L71" s="57">
        <v>46</v>
      </c>
      <c r="M71" s="57">
        <v>2026</v>
      </c>
      <c r="N71" s="54" t="s">
        <v>411</v>
      </c>
      <c r="O71" s="54" t="s">
        <v>412</v>
      </c>
      <c r="P71" s="51" t="s">
        <v>108</v>
      </c>
      <c r="Q71" s="58">
        <v>17242954</v>
      </c>
      <c r="R71" s="47" t="s">
        <v>143</v>
      </c>
    </row>
    <row r="72" spans="1:18" x14ac:dyDescent="0.25">
      <c r="A72" s="52">
        <v>71</v>
      </c>
      <c r="B72" s="63">
        <v>16808608</v>
      </c>
      <c r="C72" s="47" t="s">
        <v>413</v>
      </c>
      <c r="D72" s="47" t="s">
        <v>414</v>
      </c>
      <c r="E72" s="47" t="s">
        <v>373</v>
      </c>
      <c r="F72" s="53">
        <v>2137969</v>
      </c>
      <c r="G72" s="54" t="s">
        <v>415</v>
      </c>
      <c r="H72" s="55">
        <v>17</v>
      </c>
      <c r="I72" s="46">
        <v>2026</v>
      </c>
      <c r="J72" s="56">
        <v>46235</v>
      </c>
      <c r="K72" s="56">
        <v>46280</v>
      </c>
      <c r="L72" s="57">
        <v>46</v>
      </c>
      <c r="M72" s="57">
        <v>2026</v>
      </c>
      <c r="N72" s="54" t="s">
        <v>416</v>
      </c>
      <c r="O72" s="54" t="s">
        <v>417</v>
      </c>
      <c r="P72" s="51" t="s">
        <v>108</v>
      </c>
      <c r="Q72" s="58">
        <v>17242954</v>
      </c>
      <c r="R72" s="47" t="s">
        <v>418</v>
      </c>
    </row>
    <row r="73" spans="1:18" x14ac:dyDescent="0.25">
      <c r="A73" s="52">
        <v>72</v>
      </c>
      <c r="B73" s="64">
        <v>17240765</v>
      </c>
      <c r="C73" s="47" t="s">
        <v>419</v>
      </c>
      <c r="D73" s="47" t="s">
        <v>420</v>
      </c>
      <c r="E73" s="47" t="s">
        <v>373</v>
      </c>
      <c r="F73" s="53">
        <v>8044827</v>
      </c>
      <c r="G73" s="54" t="s">
        <v>374</v>
      </c>
      <c r="H73" s="55">
        <v>6</v>
      </c>
      <c r="I73" s="46">
        <v>2026</v>
      </c>
      <c r="J73" s="56">
        <v>46235</v>
      </c>
      <c r="K73" s="56">
        <v>46280</v>
      </c>
      <c r="L73" s="57">
        <v>46</v>
      </c>
      <c r="M73" s="57">
        <v>2026</v>
      </c>
      <c r="N73" s="54" t="s">
        <v>421</v>
      </c>
      <c r="O73" s="54" t="s">
        <v>422</v>
      </c>
      <c r="P73" s="51" t="s">
        <v>108</v>
      </c>
      <c r="Q73" s="58">
        <v>17242954</v>
      </c>
      <c r="R73" s="47" t="s">
        <v>138</v>
      </c>
    </row>
    <row r="74" spans="1:18" x14ac:dyDescent="0.25">
      <c r="A74" s="52">
        <v>73</v>
      </c>
      <c r="B74" s="61">
        <v>14853914</v>
      </c>
      <c r="C74" s="47" t="s">
        <v>423</v>
      </c>
      <c r="D74" s="47" t="s">
        <v>424</v>
      </c>
      <c r="E74" s="47" t="s">
        <v>373</v>
      </c>
      <c r="F74" s="53">
        <v>8059706</v>
      </c>
      <c r="G74" s="54">
        <v>44008</v>
      </c>
      <c r="H74" s="55">
        <v>5</v>
      </c>
      <c r="I74" s="46">
        <v>2026</v>
      </c>
      <c r="J74" s="56">
        <v>46235</v>
      </c>
      <c r="K74" s="56">
        <v>46280</v>
      </c>
      <c r="L74" s="57">
        <v>46</v>
      </c>
      <c r="M74" s="57">
        <v>2026</v>
      </c>
      <c r="N74" s="54"/>
      <c r="O74" s="54" t="s">
        <v>425</v>
      </c>
      <c r="P74" s="51" t="s">
        <v>108</v>
      </c>
      <c r="Q74" s="58">
        <v>17242954</v>
      </c>
      <c r="R74" s="47" t="s">
        <v>143</v>
      </c>
    </row>
    <row r="75" spans="1:18" x14ac:dyDescent="0.25">
      <c r="A75" s="52">
        <v>74</v>
      </c>
      <c r="B75" s="61">
        <v>19090864</v>
      </c>
      <c r="C75" s="47" t="s">
        <v>426</v>
      </c>
      <c r="D75" s="47" t="s">
        <v>427</v>
      </c>
      <c r="E75" s="47" t="s">
        <v>373</v>
      </c>
      <c r="F75" s="53">
        <v>8059718</v>
      </c>
      <c r="G75" s="54">
        <v>44635</v>
      </c>
      <c r="H75" s="55">
        <v>4</v>
      </c>
      <c r="I75" s="46">
        <v>2026</v>
      </c>
      <c r="J75" s="56">
        <v>46235</v>
      </c>
      <c r="K75" s="56">
        <v>46280</v>
      </c>
      <c r="L75" s="57">
        <v>46</v>
      </c>
      <c r="M75" s="57">
        <v>2026</v>
      </c>
      <c r="N75" s="54"/>
      <c r="O75" s="54" t="s">
        <v>428</v>
      </c>
      <c r="P75" s="51" t="s">
        <v>108</v>
      </c>
      <c r="Q75" s="58">
        <v>17242954</v>
      </c>
      <c r="R75" s="47" t="s">
        <v>155</v>
      </c>
    </row>
    <row r="76" spans="1:18" x14ac:dyDescent="0.25">
      <c r="A76" s="52">
        <v>75</v>
      </c>
      <c r="B76" s="61">
        <v>18274614</v>
      </c>
      <c r="C76" s="47" t="s">
        <v>429</v>
      </c>
      <c r="D76" s="47" t="s">
        <v>430</v>
      </c>
      <c r="E76" s="47" t="s">
        <v>373</v>
      </c>
      <c r="F76" s="53">
        <v>2177718</v>
      </c>
      <c r="G76" s="54" t="s">
        <v>431</v>
      </c>
      <c r="H76" s="55">
        <v>14</v>
      </c>
      <c r="I76" s="46">
        <v>2026</v>
      </c>
      <c r="J76" s="56">
        <v>46235</v>
      </c>
      <c r="K76" s="56">
        <v>46280</v>
      </c>
      <c r="L76" s="57">
        <v>46</v>
      </c>
      <c r="M76" s="57">
        <v>2026</v>
      </c>
      <c r="N76" s="54" t="s">
        <v>432</v>
      </c>
      <c r="O76" s="54" t="s">
        <v>433</v>
      </c>
      <c r="P76" s="51" t="s">
        <v>108</v>
      </c>
      <c r="Q76" s="58">
        <v>17242954</v>
      </c>
      <c r="R76" s="47" t="s">
        <v>198</v>
      </c>
    </row>
    <row r="77" spans="1:18" x14ac:dyDescent="0.25">
      <c r="A77" s="52">
        <v>76</v>
      </c>
      <c r="B77" s="63">
        <v>15030333</v>
      </c>
      <c r="C77" s="47" t="s">
        <v>434</v>
      </c>
      <c r="D77" s="47" t="s">
        <v>435</v>
      </c>
      <c r="E77" s="47" t="s">
        <v>373</v>
      </c>
      <c r="F77" s="53">
        <v>8059716</v>
      </c>
      <c r="G77" s="54">
        <v>44635</v>
      </c>
      <c r="H77" s="55">
        <v>4</v>
      </c>
      <c r="I77" s="46">
        <v>2026</v>
      </c>
      <c r="J77" s="56">
        <v>46235</v>
      </c>
      <c r="K77" s="56">
        <v>46280</v>
      </c>
      <c r="L77" s="57">
        <v>46</v>
      </c>
      <c r="M77" s="57">
        <v>2026</v>
      </c>
      <c r="N77" s="54"/>
      <c r="O77" s="54" t="s">
        <v>436</v>
      </c>
      <c r="P77" s="51" t="s">
        <v>108</v>
      </c>
      <c r="Q77" s="58">
        <v>17242954</v>
      </c>
      <c r="R77" s="47" t="s">
        <v>437</v>
      </c>
    </row>
    <row r="78" spans="1:18" x14ac:dyDescent="0.25">
      <c r="A78" s="52">
        <v>77</v>
      </c>
      <c r="B78" s="61">
        <v>17090342</v>
      </c>
      <c r="C78" s="47" t="s">
        <v>438</v>
      </c>
      <c r="D78" s="47" t="s">
        <v>439</v>
      </c>
      <c r="E78" s="47" t="s">
        <v>373</v>
      </c>
      <c r="F78" s="53">
        <v>8059705</v>
      </c>
      <c r="G78" s="54" t="s">
        <v>440</v>
      </c>
      <c r="H78" s="55">
        <v>3</v>
      </c>
      <c r="I78" s="46">
        <v>2026</v>
      </c>
      <c r="J78" s="56">
        <v>46235</v>
      </c>
      <c r="K78" s="56">
        <v>46280</v>
      </c>
      <c r="L78" s="57">
        <v>46</v>
      </c>
      <c r="M78" s="57">
        <v>2026</v>
      </c>
      <c r="N78" s="54"/>
      <c r="O78" s="54" t="s">
        <v>441</v>
      </c>
      <c r="P78" s="51" t="s">
        <v>108</v>
      </c>
      <c r="Q78" s="58">
        <v>17242954</v>
      </c>
      <c r="R78" s="47" t="s">
        <v>143</v>
      </c>
    </row>
    <row r="79" spans="1:18" x14ac:dyDescent="0.25">
      <c r="A79" s="52">
        <v>78</v>
      </c>
      <c r="B79" s="61">
        <v>16939474</v>
      </c>
      <c r="C79" s="47" t="s">
        <v>442</v>
      </c>
      <c r="D79" s="47" t="s">
        <v>443</v>
      </c>
      <c r="E79" s="47" t="s">
        <v>373</v>
      </c>
      <c r="F79" s="53">
        <v>2184714</v>
      </c>
      <c r="G79" s="54" t="s">
        <v>402</v>
      </c>
      <c r="H79" s="55">
        <v>13</v>
      </c>
      <c r="I79" s="46">
        <v>2026</v>
      </c>
      <c r="J79" s="56">
        <v>46235</v>
      </c>
      <c r="K79" s="56">
        <v>46280</v>
      </c>
      <c r="L79" s="57">
        <v>46</v>
      </c>
      <c r="M79" s="57">
        <v>2026</v>
      </c>
      <c r="N79" s="54" t="s">
        <v>444</v>
      </c>
      <c r="O79" s="54" t="s">
        <v>445</v>
      </c>
      <c r="P79" s="51" t="s">
        <v>108</v>
      </c>
      <c r="Q79" s="58">
        <v>17242954</v>
      </c>
      <c r="R79" s="47" t="s">
        <v>138</v>
      </c>
    </row>
    <row r="80" spans="1:18" x14ac:dyDescent="0.25">
      <c r="A80" s="52">
        <v>79</v>
      </c>
      <c r="B80" s="61">
        <v>21348248</v>
      </c>
      <c r="C80" s="47" t="s">
        <v>446</v>
      </c>
      <c r="D80" s="47" t="s">
        <v>447</v>
      </c>
      <c r="E80" s="47" t="s">
        <v>373</v>
      </c>
      <c r="F80" s="53">
        <v>2233280</v>
      </c>
      <c r="G80" s="54" t="s">
        <v>448</v>
      </c>
      <c r="H80" s="55">
        <v>9</v>
      </c>
      <c r="I80" s="46">
        <v>2026</v>
      </c>
      <c r="J80" s="56">
        <v>46235</v>
      </c>
      <c r="K80" s="56">
        <v>46280</v>
      </c>
      <c r="L80" s="57">
        <v>46</v>
      </c>
      <c r="M80" s="57">
        <v>2026</v>
      </c>
      <c r="N80" s="54" t="s">
        <v>449</v>
      </c>
      <c r="O80" s="54" t="s">
        <v>450</v>
      </c>
      <c r="P80" s="51" t="s">
        <v>108</v>
      </c>
      <c r="Q80" s="58">
        <v>17242954</v>
      </c>
      <c r="R80" s="47" t="s">
        <v>138</v>
      </c>
    </row>
    <row r="81" spans="1:18" x14ac:dyDescent="0.25">
      <c r="A81" s="52">
        <v>80</v>
      </c>
      <c r="B81" s="61">
        <v>17042206</v>
      </c>
      <c r="C81" s="47" t="s">
        <v>451</v>
      </c>
      <c r="D81" s="47" t="s">
        <v>452</v>
      </c>
      <c r="E81" s="47" t="s">
        <v>373</v>
      </c>
      <c r="F81" s="53">
        <v>8059723</v>
      </c>
      <c r="G81" s="54" t="s">
        <v>453</v>
      </c>
      <c r="H81" s="55">
        <v>4</v>
      </c>
      <c r="I81" s="46">
        <v>2026</v>
      </c>
      <c r="J81" s="56">
        <v>46235</v>
      </c>
      <c r="K81" s="56">
        <v>46280</v>
      </c>
      <c r="L81" s="57">
        <v>46</v>
      </c>
      <c r="M81" s="57">
        <v>2026</v>
      </c>
      <c r="N81" s="54" t="s">
        <v>454</v>
      </c>
      <c r="O81" s="54" t="s">
        <v>455</v>
      </c>
      <c r="P81" s="51" t="s">
        <v>108</v>
      </c>
      <c r="Q81" s="58">
        <v>17242954</v>
      </c>
      <c r="R81" s="47" t="s">
        <v>456</v>
      </c>
    </row>
    <row r="82" spans="1:18" x14ac:dyDescent="0.25">
      <c r="A82" s="52">
        <v>81</v>
      </c>
      <c r="B82" s="61">
        <v>18268936</v>
      </c>
      <c r="C82" s="47" t="s">
        <v>457</v>
      </c>
      <c r="D82" s="47" t="s">
        <v>458</v>
      </c>
      <c r="E82" s="47" t="s">
        <v>373</v>
      </c>
      <c r="F82" s="53">
        <v>8050015</v>
      </c>
      <c r="G82" s="54">
        <v>44008</v>
      </c>
      <c r="H82" s="55">
        <v>5</v>
      </c>
      <c r="I82" s="46">
        <v>2026</v>
      </c>
      <c r="J82" s="56">
        <v>46235</v>
      </c>
      <c r="K82" s="56">
        <v>46280</v>
      </c>
      <c r="L82" s="57">
        <v>46</v>
      </c>
      <c r="M82" s="57">
        <v>2026</v>
      </c>
      <c r="N82" s="54"/>
      <c r="O82" s="54" t="s">
        <v>459</v>
      </c>
      <c r="P82" s="51" t="s">
        <v>108</v>
      </c>
      <c r="Q82" s="58">
        <v>17242954</v>
      </c>
      <c r="R82" s="47" t="s">
        <v>138</v>
      </c>
    </row>
    <row r="83" spans="1:18" x14ac:dyDescent="0.25">
      <c r="A83" s="52">
        <v>82</v>
      </c>
      <c r="B83" s="61">
        <v>14661452</v>
      </c>
      <c r="C83" s="47" t="s">
        <v>460</v>
      </c>
      <c r="D83" s="47" t="s">
        <v>461</v>
      </c>
      <c r="E83" s="47" t="s">
        <v>373</v>
      </c>
      <c r="F83" s="53">
        <v>2233278</v>
      </c>
      <c r="G83" s="54" t="s">
        <v>448</v>
      </c>
      <c r="H83" s="55">
        <v>9</v>
      </c>
      <c r="I83" s="46">
        <v>2026</v>
      </c>
      <c r="J83" s="56">
        <v>46235</v>
      </c>
      <c r="K83" s="56">
        <v>46280</v>
      </c>
      <c r="L83" s="57">
        <v>46</v>
      </c>
      <c r="M83" s="57">
        <v>2026</v>
      </c>
      <c r="N83" s="54" t="s">
        <v>462</v>
      </c>
      <c r="O83" s="54" t="s">
        <v>463</v>
      </c>
      <c r="P83" s="51" t="s">
        <v>108</v>
      </c>
      <c r="Q83" s="58">
        <v>17242954</v>
      </c>
      <c r="R83" s="47" t="s">
        <v>138</v>
      </c>
    </row>
    <row r="84" spans="1:18" x14ac:dyDescent="0.25">
      <c r="A84" s="52">
        <v>83</v>
      </c>
      <c r="B84" s="61">
        <v>18463048</v>
      </c>
      <c r="C84" s="47" t="s">
        <v>464</v>
      </c>
      <c r="D84" s="47" t="s">
        <v>465</v>
      </c>
      <c r="E84" s="47" t="s">
        <v>373</v>
      </c>
      <c r="F84" s="53">
        <v>8050018</v>
      </c>
      <c r="G84" s="54">
        <v>44008</v>
      </c>
      <c r="H84" s="55">
        <v>5</v>
      </c>
      <c r="I84" s="46">
        <v>2026</v>
      </c>
      <c r="J84" s="56">
        <v>46235</v>
      </c>
      <c r="K84" s="56">
        <v>46280</v>
      </c>
      <c r="L84" s="57">
        <v>46</v>
      </c>
      <c r="M84" s="57">
        <v>2026</v>
      </c>
      <c r="N84" s="54"/>
      <c r="O84" s="54" t="s">
        <v>466</v>
      </c>
      <c r="P84" s="51" t="s">
        <v>108</v>
      </c>
      <c r="Q84" s="58">
        <v>17242954</v>
      </c>
      <c r="R84" s="47" t="s">
        <v>155</v>
      </c>
    </row>
    <row r="85" spans="1:18" x14ac:dyDescent="0.25">
      <c r="A85" s="52">
        <v>84</v>
      </c>
      <c r="B85" s="64">
        <v>15117427</v>
      </c>
      <c r="C85" s="47" t="s">
        <v>467</v>
      </c>
      <c r="D85" s="47" t="s">
        <v>468</v>
      </c>
      <c r="E85" s="47" t="s">
        <v>373</v>
      </c>
      <c r="F85" s="53">
        <v>8044808</v>
      </c>
      <c r="G85" s="54" t="s">
        <v>374</v>
      </c>
      <c r="H85" s="55">
        <v>6</v>
      </c>
      <c r="I85" s="46">
        <v>2026</v>
      </c>
      <c r="J85" s="56">
        <v>46235</v>
      </c>
      <c r="K85" s="56">
        <v>46280</v>
      </c>
      <c r="L85" s="57">
        <v>46</v>
      </c>
      <c r="M85" s="57">
        <v>2026</v>
      </c>
      <c r="N85" s="54" t="s">
        <v>469</v>
      </c>
      <c r="O85" s="54" t="s">
        <v>388</v>
      </c>
      <c r="P85" s="51" t="s">
        <v>108</v>
      </c>
      <c r="Q85" s="58">
        <v>17242954</v>
      </c>
      <c r="R85" s="47" t="s">
        <v>138</v>
      </c>
    </row>
    <row r="86" spans="1:18" x14ac:dyDescent="0.25">
      <c r="A86" s="52">
        <v>85</v>
      </c>
      <c r="B86" s="61">
        <v>12288989</v>
      </c>
      <c r="C86" s="47" t="s">
        <v>470</v>
      </c>
      <c r="D86" s="47" t="s">
        <v>471</v>
      </c>
      <c r="E86" s="47" t="s">
        <v>373</v>
      </c>
      <c r="F86" s="53">
        <v>2094296</v>
      </c>
      <c r="G86" s="54" t="s">
        <v>410</v>
      </c>
      <c r="H86" s="55">
        <v>20</v>
      </c>
      <c r="I86" s="46">
        <v>2026</v>
      </c>
      <c r="J86" s="56">
        <v>46235</v>
      </c>
      <c r="K86" s="56">
        <v>46280</v>
      </c>
      <c r="L86" s="57">
        <v>46</v>
      </c>
      <c r="M86" s="57">
        <v>2026</v>
      </c>
      <c r="N86" s="54" t="s">
        <v>472</v>
      </c>
      <c r="O86" s="54" t="s">
        <v>473</v>
      </c>
      <c r="P86" s="51" t="s">
        <v>108</v>
      </c>
      <c r="Q86" s="58">
        <v>17242954</v>
      </c>
      <c r="R86" s="47" t="s">
        <v>474</v>
      </c>
    </row>
    <row r="87" spans="1:18" x14ac:dyDescent="0.25">
      <c r="A87" s="52">
        <v>86</v>
      </c>
      <c r="B87" s="64">
        <v>18010857</v>
      </c>
      <c r="C87" s="47" t="s">
        <v>475</v>
      </c>
      <c r="D87" s="47" t="s">
        <v>476</v>
      </c>
      <c r="E87" s="47" t="s">
        <v>373</v>
      </c>
      <c r="F87" s="53">
        <v>8044813</v>
      </c>
      <c r="G87" s="54">
        <v>43707</v>
      </c>
      <c r="H87" s="55">
        <v>6</v>
      </c>
      <c r="I87" s="46">
        <v>2026</v>
      </c>
      <c r="J87" s="56">
        <v>46235</v>
      </c>
      <c r="K87" s="56">
        <v>46280</v>
      </c>
      <c r="L87" s="57">
        <v>46</v>
      </c>
      <c r="M87" s="57">
        <v>2026</v>
      </c>
      <c r="N87" s="54"/>
      <c r="O87" s="54" t="s">
        <v>477</v>
      </c>
      <c r="P87" s="51" t="s">
        <v>108</v>
      </c>
      <c r="Q87" s="58">
        <v>17242954</v>
      </c>
      <c r="R87" s="47" t="s">
        <v>138</v>
      </c>
    </row>
    <row r="88" spans="1:18" x14ac:dyDescent="0.25">
      <c r="A88" s="52">
        <v>87</v>
      </c>
      <c r="B88" s="61">
        <v>18272669</v>
      </c>
      <c r="C88" s="47" t="s">
        <v>478</v>
      </c>
      <c r="D88" s="47" t="s">
        <v>479</v>
      </c>
      <c r="E88" s="47" t="s">
        <v>373</v>
      </c>
      <c r="F88" s="53">
        <v>8050004</v>
      </c>
      <c r="G88" s="54">
        <v>44008</v>
      </c>
      <c r="H88" s="55">
        <v>5</v>
      </c>
      <c r="I88" s="46">
        <v>2026</v>
      </c>
      <c r="J88" s="56">
        <v>46235</v>
      </c>
      <c r="K88" s="56">
        <v>46280</v>
      </c>
      <c r="L88" s="57">
        <v>46</v>
      </c>
      <c r="M88" s="57">
        <v>2026</v>
      </c>
      <c r="N88" s="54"/>
      <c r="O88" s="54" t="s">
        <v>480</v>
      </c>
      <c r="P88" s="51" t="s">
        <v>108</v>
      </c>
      <c r="Q88" s="58">
        <v>17242954</v>
      </c>
      <c r="R88" s="47" t="s">
        <v>143</v>
      </c>
    </row>
    <row r="89" spans="1:18" x14ac:dyDescent="0.25">
      <c r="A89" s="52">
        <v>88</v>
      </c>
      <c r="B89" s="61">
        <v>14859770</v>
      </c>
      <c r="C89" s="47" t="s">
        <v>481</v>
      </c>
      <c r="D89" s="47" t="s">
        <v>482</v>
      </c>
      <c r="E89" s="47" t="s">
        <v>373</v>
      </c>
      <c r="F89" s="53">
        <v>2233277</v>
      </c>
      <c r="G89" s="54" t="s">
        <v>448</v>
      </c>
      <c r="H89" s="55">
        <v>9</v>
      </c>
      <c r="I89" s="46">
        <v>2026</v>
      </c>
      <c r="J89" s="56">
        <v>46235</v>
      </c>
      <c r="K89" s="56">
        <v>46280</v>
      </c>
      <c r="L89" s="57">
        <v>46</v>
      </c>
      <c r="M89" s="57">
        <v>2026</v>
      </c>
      <c r="N89" s="54" t="s">
        <v>483</v>
      </c>
      <c r="O89" s="54" t="s">
        <v>484</v>
      </c>
      <c r="P89" s="51" t="s">
        <v>108</v>
      </c>
      <c r="Q89" s="58">
        <v>17242954</v>
      </c>
      <c r="R89" s="47" t="s">
        <v>155</v>
      </c>
    </row>
    <row r="90" spans="1:18" x14ac:dyDescent="0.25">
      <c r="A90" s="52">
        <v>89</v>
      </c>
      <c r="B90" s="61">
        <v>14339477</v>
      </c>
      <c r="C90" s="47" t="s">
        <v>485</v>
      </c>
      <c r="D90" s="47" t="s">
        <v>486</v>
      </c>
      <c r="E90" s="47" t="s">
        <v>373</v>
      </c>
      <c r="F90" s="53">
        <v>2137949</v>
      </c>
      <c r="G90" s="54" t="s">
        <v>415</v>
      </c>
      <c r="H90" s="55">
        <v>17</v>
      </c>
      <c r="I90" s="46">
        <v>2026</v>
      </c>
      <c r="J90" s="56">
        <v>46235</v>
      </c>
      <c r="K90" s="56">
        <v>46280</v>
      </c>
      <c r="L90" s="57">
        <v>46</v>
      </c>
      <c r="M90" s="57">
        <v>2026</v>
      </c>
      <c r="N90" s="54" t="s">
        <v>487</v>
      </c>
      <c r="O90" s="54" t="s">
        <v>488</v>
      </c>
      <c r="P90" s="51" t="s">
        <v>108</v>
      </c>
      <c r="Q90" s="58">
        <v>17242954</v>
      </c>
      <c r="R90" s="47" t="s">
        <v>138</v>
      </c>
    </row>
    <row r="91" spans="1:18" x14ac:dyDescent="0.25">
      <c r="A91" s="52">
        <v>90</v>
      </c>
      <c r="B91" s="64">
        <v>12968674</v>
      </c>
      <c r="C91" s="47" t="s">
        <v>489</v>
      </c>
      <c r="D91" s="47" t="s">
        <v>490</v>
      </c>
      <c r="E91" s="47" t="s">
        <v>373</v>
      </c>
      <c r="F91" s="53">
        <v>8044801</v>
      </c>
      <c r="G91" s="54" t="s">
        <v>374</v>
      </c>
      <c r="H91" s="55">
        <v>6</v>
      </c>
      <c r="I91" s="46">
        <v>2026</v>
      </c>
      <c r="J91" s="56">
        <v>46235</v>
      </c>
      <c r="K91" s="56">
        <v>46280</v>
      </c>
      <c r="L91" s="57">
        <v>46</v>
      </c>
      <c r="M91" s="57">
        <v>2026</v>
      </c>
      <c r="N91" s="54" t="s">
        <v>491</v>
      </c>
      <c r="O91" s="54" t="s">
        <v>492</v>
      </c>
      <c r="P91" s="51" t="s">
        <v>108</v>
      </c>
      <c r="Q91" s="58">
        <v>17242954</v>
      </c>
      <c r="R91" s="47" t="s">
        <v>155</v>
      </c>
    </row>
    <row r="92" spans="1:18" x14ac:dyDescent="0.25">
      <c r="A92" s="52">
        <v>91</v>
      </c>
      <c r="B92" s="61">
        <v>14859468</v>
      </c>
      <c r="C92" s="47" t="s">
        <v>493</v>
      </c>
      <c r="D92" s="47" t="s">
        <v>494</v>
      </c>
      <c r="E92" s="47" t="s">
        <v>373</v>
      </c>
      <c r="F92" s="53">
        <v>2065537</v>
      </c>
      <c r="G92" s="54" t="s">
        <v>495</v>
      </c>
      <c r="H92" s="55">
        <v>23</v>
      </c>
      <c r="I92" s="46">
        <v>2026</v>
      </c>
      <c r="J92" s="56">
        <v>46235</v>
      </c>
      <c r="K92" s="56">
        <v>46280</v>
      </c>
      <c r="L92" s="57">
        <v>46</v>
      </c>
      <c r="M92" s="57">
        <v>2026</v>
      </c>
      <c r="N92" s="54" t="s">
        <v>496</v>
      </c>
      <c r="O92" s="54" t="s">
        <v>497</v>
      </c>
      <c r="P92" s="51" t="s">
        <v>108</v>
      </c>
      <c r="Q92" s="58">
        <v>17242954</v>
      </c>
      <c r="R92" s="47" t="s">
        <v>310</v>
      </c>
    </row>
    <row r="93" spans="1:18" x14ac:dyDescent="0.25">
      <c r="A93" s="52">
        <v>92</v>
      </c>
      <c r="B93" s="63">
        <v>17546889</v>
      </c>
      <c r="C93" s="47" t="s">
        <v>498</v>
      </c>
      <c r="D93" s="47" t="s">
        <v>499</v>
      </c>
      <c r="E93" s="47" t="s">
        <v>373</v>
      </c>
      <c r="F93" s="53">
        <v>8045021</v>
      </c>
      <c r="G93" s="54" t="s">
        <v>500</v>
      </c>
      <c r="H93" s="55">
        <v>6</v>
      </c>
      <c r="I93" s="46">
        <v>2026</v>
      </c>
      <c r="J93" s="56">
        <v>46235</v>
      </c>
      <c r="K93" s="56">
        <v>46280</v>
      </c>
      <c r="L93" s="57">
        <v>46</v>
      </c>
      <c r="M93" s="57">
        <v>2026</v>
      </c>
      <c r="N93" s="54" t="s">
        <v>501</v>
      </c>
      <c r="O93" s="54" t="s">
        <v>502</v>
      </c>
      <c r="P93" s="51" t="s">
        <v>108</v>
      </c>
      <c r="Q93" s="58">
        <v>17242954</v>
      </c>
      <c r="R93" s="47" t="s">
        <v>138</v>
      </c>
    </row>
    <row r="94" spans="1:18" x14ac:dyDescent="0.25">
      <c r="A94" s="52">
        <v>93</v>
      </c>
      <c r="B94" s="63">
        <v>13476169</v>
      </c>
      <c r="C94" s="47" t="s">
        <v>503</v>
      </c>
      <c r="D94" s="47" t="s">
        <v>504</v>
      </c>
      <c r="E94" s="47" t="s">
        <v>373</v>
      </c>
      <c r="F94" s="53">
        <v>2124562</v>
      </c>
      <c r="G94" s="54" t="s">
        <v>505</v>
      </c>
      <c r="H94" s="55">
        <v>18</v>
      </c>
      <c r="I94" s="46">
        <v>2026</v>
      </c>
      <c r="J94" s="56">
        <v>46235</v>
      </c>
      <c r="K94" s="56">
        <v>46280</v>
      </c>
      <c r="L94" s="57">
        <v>46</v>
      </c>
      <c r="M94" s="57">
        <v>2026</v>
      </c>
      <c r="N94" s="54" t="s">
        <v>506</v>
      </c>
      <c r="O94" s="54" t="s">
        <v>507</v>
      </c>
      <c r="P94" s="51" t="s">
        <v>108</v>
      </c>
      <c r="Q94" s="58">
        <v>17242954</v>
      </c>
      <c r="R94" s="47" t="s">
        <v>138</v>
      </c>
    </row>
    <row r="95" spans="1:18" x14ac:dyDescent="0.25">
      <c r="A95" s="52">
        <v>94</v>
      </c>
      <c r="B95" s="61">
        <v>15551039</v>
      </c>
      <c r="C95" s="47" t="s">
        <v>508</v>
      </c>
      <c r="D95" s="47" t="s">
        <v>509</v>
      </c>
      <c r="E95" s="47" t="s">
        <v>373</v>
      </c>
      <c r="F95" s="53">
        <v>8059720</v>
      </c>
      <c r="G95" s="54">
        <v>44635</v>
      </c>
      <c r="H95" s="55">
        <v>4</v>
      </c>
      <c r="I95" s="46">
        <v>2026</v>
      </c>
      <c r="J95" s="56">
        <v>46235</v>
      </c>
      <c r="K95" s="56">
        <v>46280</v>
      </c>
      <c r="L95" s="57">
        <v>46</v>
      </c>
      <c r="M95" s="57">
        <v>2026</v>
      </c>
      <c r="N95" s="54"/>
      <c r="O95" s="54" t="s">
        <v>510</v>
      </c>
      <c r="P95" s="51" t="s">
        <v>108</v>
      </c>
      <c r="Q95" s="58">
        <v>17242954</v>
      </c>
      <c r="R95" s="47" t="s">
        <v>138</v>
      </c>
    </row>
    <row r="96" spans="1:18" x14ac:dyDescent="0.25">
      <c r="A96" s="52">
        <v>95</v>
      </c>
      <c r="B96" s="64">
        <v>9896435</v>
      </c>
      <c r="C96" s="47" t="s">
        <v>511</v>
      </c>
      <c r="D96" s="47" t="s">
        <v>512</v>
      </c>
      <c r="E96" s="47" t="s">
        <v>373</v>
      </c>
      <c r="F96" s="53">
        <v>2032689</v>
      </c>
      <c r="G96" s="54" t="s">
        <v>513</v>
      </c>
      <c r="H96" s="55">
        <v>27</v>
      </c>
      <c r="I96" s="46">
        <v>2026</v>
      </c>
      <c r="J96" s="56">
        <v>46235</v>
      </c>
      <c r="K96" s="56">
        <v>46280</v>
      </c>
      <c r="L96" s="57">
        <v>46</v>
      </c>
      <c r="M96" s="57">
        <v>2026</v>
      </c>
      <c r="N96" s="54" t="s">
        <v>514</v>
      </c>
      <c r="O96" s="54" t="s">
        <v>515</v>
      </c>
      <c r="P96" s="51" t="s">
        <v>108</v>
      </c>
      <c r="Q96" s="58">
        <v>17242954</v>
      </c>
      <c r="R96" s="47" t="s">
        <v>516</v>
      </c>
    </row>
    <row r="97" spans="1:18" x14ac:dyDescent="0.25">
      <c r="A97" s="52">
        <v>96</v>
      </c>
      <c r="B97" s="61">
        <v>21051939</v>
      </c>
      <c r="C97" s="47" t="s">
        <v>517</v>
      </c>
      <c r="D97" s="47" t="s">
        <v>518</v>
      </c>
      <c r="E97" s="47" t="s">
        <v>373</v>
      </c>
      <c r="F97" s="53">
        <v>8050016</v>
      </c>
      <c r="G97" s="54">
        <v>44008</v>
      </c>
      <c r="H97" s="55">
        <v>5</v>
      </c>
      <c r="I97" s="46">
        <v>2026</v>
      </c>
      <c r="J97" s="56">
        <v>46235</v>
      </c>
      <c r="K97" s="56">
        <v>46280</v>
      </c>
      <c r="L97" s="57">
        <v>46</v>
      </c>
      <c r="M97" s="57">
        <v>2026</v>
      </c>
      <c r="N97" s="54"/>
      <c r="O97" s="54" t="s">
        <v>519</v>
      </c>
      <c r="P97" s="51" t="s">
        <v>108</v>
      </c>
      <c r="Q97" s="58">
        <v>17242954</v>
      </c>
      <c r="R97" s="47" t="s">
        <v>172</v>
      </c>
    </row>
    <row r="98" spans="1:18" x14ac:dyDescent="0.25">
      <c r="A98" s="52">
        <v>97</v>
      </c>
      <c r="B98" s="61">
        <v>17302888</v>
      </c>
      <c r="C98" s="47" t="s">
        <v>520</v>
      </c>
      <c r="D98" s="47" t="s">
        <v>521</v>
      </c>
      <c r="E98" s="47" t="s">
        <v>373</v>
      </c>
      <c r="F98" s="53">
        <v>8044803</v>
      </c>
      <c r="G98" s="54" t="s">
        <v>374</v>
      </c>
      <c r="H98" s="55">
        <v>6</v>
      </c>
      <c r="I98" s="46">
        <v>2026</v>
      </c>
      <c r="J98" s="56">
        <v>46235</v>
      </c>
      <c r="K98" s="56">
        <v>46280</v>
      </c>
      <c r="L98" s="57">
        <v>46</v>
      </c>
      <c r="M98" s="57">
        <v>2026</v>
      </c>
      <c r="N98" s="54" t="s">
        <v>522</v>
      </c>
      <c r="O98" s="54" t="s">
        <v>523</v>
      </c>
      <c r="P98" s="51" t="s">
        <v>108</v>
      </c>
      <c r="Q98" s="58">
        <v>17242954</v>
      </c>
      <c r="R98" s="47" t="s">
        <v>155</v>
      </c>
    </row>
    <row r="99" spans="1:18" x14ac:dyDescent="0.25">
      <c r="A99" s="52">
        <v>98</v>
      </c>
      <c r="B99" s="61">
        <v>14507966</v>
      </c>
      <c r="C99" s="47" t="s">
        <v>524</v>
      </c>
      <c r="D99" s="47" t="s">
        <v>525</v>
      </c>
      <c r="E99" s="47" t="s">
        <v>373</v>
      </c>
      <c r="F99" s="53">
        <v>2117173</v>
      </c>
      <c r="G99" s="54" t="s">
        <v>526</v>
      </c>
      <c r="H99" s="55">
        <v>18</v>
      </c>
      <c r="I99" s="46">
        <v>2026</v>
      </c>
      <c r="J99" s="56">
        <v>46235</v>
      </c>
      <c r="K99" s="56">
        <v>46280</v>
      </c>
      <c r="L99" s="57">
        <v>46</v>
      </c>
      <c r="M99" s="57">
        <v>2026</v>
      </c>
      <c r="N99" s="54" t="s">
        <v>527</v>
      </c>
      <c r="O99" s="54" t="s">
        <v>528</v>
      </c>
      <c r="P99" s="51" t="s">
        <v>108</v>
      </c>
      <c r="Q99" s="58">
        <v>17242954</v>
      </c>
      <c r="R99" s="47" t="s">
        <v>310</v>
      </c>
    </row>
    <row r="100" spans="1:18" x14ac:dyDescent="0.25">
      <c r="A100" s="52">
        <v>99</v>
      </c>
      <c r="B100" s="61">
        <v>16373334</v>
      </c>
      <c r="C100" s="47" t="s">
        <v>529</v>
      </c>
      <c r="D100" s="47" t="s">
        <v>530</v>
      </c>
      <c r="E100" s="47" t="s">
        <v>373</v>
      </c>
      <c r="F100" s="53">
        <v>8050012</v>
      </c>
      <c r="G100" s="54">
        <v>44008</v>
      </c>
      <c r="H100" s="55">
        <v>5</v>
      </c>
      <c r="I100" s="46">
        <v>2026</v>
      </c>
      <c r="J100" s="56">
        <v>46235</v>
      </c>
      <c r="K100" s="56">
        <v>46280</v>
      </c>
      <c r="L100" s="57">
        <v>46</v>
      </c>
      <c r="M100" s="57">
        <v>2026</v>
      </c>
      <c r="N100" s="54"/>
      <c r="O100" s="54" t="s">
        <v>531</v>
      </c>
      <c r="P100" s="51" t="s">
        <v>108</v>
      </c>
      <c r="Q100" s="58">
        <v>17242954</v>
      </c>
      <c r="R100" s="47" t="s">
        <v>138</v>
      </c>
    </row>
    <row r="101" spans="1:18" x14ac:dyDescent="0.25">
      <c r="A101" s="52">
        <v>100</v>
      </c>
      <c r="B101" s="61">
        <v>15278892</v>
      </c>
      <c r="C101" s="47" t="s">
        <v>532</v>
      </c>
      <c r="D101" s="47" t="s">
        <v>533</v>
      </c>
      <c r="E101" s="47" t="s">
        <v>373</v>
      </c>
      <c r="F101" s="53">
        <v>2094297</v>
      </c>
      <c r="G101" s="54" t="s">
        <v>410</v>
      </c>
      <c r="H101" s="55">
        <v>20</v>
      </c>
      <c r="I101" s="46">
        <v>2026</v>
      </c>
      <c r="J101" s="56">
        <v>46235</v>
      </c>
      <c r="K101" s="56">
        <v>46280</v>
      </c>
      <c r="L101" s="57">
        <v>46</v>
      </c>
      <c r="M101" s="57">
        <v>2026</v>
      </c>
      <c r="N101" s="54" t="s">
        <v>534</v>
      </c>
      <c r="O101" s="54" t="s">
        <v>535</v>
      </c>
      <c r="P101" s="51" t="s">
        <v>108</v>
      </c>
      <c r="Q101" s="58">
        <v>17242954</v>
      </c>
      <c r="R101" s="47" t="s">
        <v>155</v>
      </c>
    </row>
    <row r="102" spans="1:18" x14ac:dyDescent="0.25">
      <c r="A102" s="52">
        <v>101</v>
      </c>
      <c r="B102" s="64">
        <v>17719002</v>
      </c>
      <c r="C102" s="47" t="s">
        <v>536</v>
      </c>
      <c r="D102" s="47" t="s">
        <v>537</v>
      </c>
      <c r="E102" s="47" t="s">
        <v>373</v>
      </c>
      <c r="F102" s="53">
        <v>8044800</v>
      </c>
      <c r="G102" s="54" t="s">
        <v>374</v>
      </c>
      <c r="H102" s="55">
        <v>6</v>
      </c>
      <c r="I102" s="46">
        <v>2026</v>
      </c>
      <c r="J102" s="56">
        <v>46235</v>
      </c>
      <c r="K102" s="56">
        <v>46280</v>
      </c>
      <c r="L102" s="57">
        <v>46</v>
      </c>
      <c r="M102" s="57">
        <v>2026</v>
      </c>
      <c r="N102" s="54" t="s">
        <v>538</v>
      </c>
      <c r="O102" s="54" t="s">
        <v>539</v>
      </c>
      <c r="P102" s="51" t="s">
        <v>108</v>
      </c>
      <c r="Q102" s="58">
        <v>17242954</v>
      </c>
      <c r="R102" s="47" t="s">
        <v>155</v>
      </c>
    </row>
    <row r="103" spans="1:18" x14ac:dyDescent="0.25">
      <c r="A103" s="52">
        <v>102</v>
      </c>
      <c r="B103" s="61">
        <v>17240397</v>
      </c>
      <c r="C103" s="47" t="s">
        <v>540</v>
      </c>
      <c r="D103" s="47" t="s">
        <v>541</v>
      </c>
      <c r="E103" s="47" t="s">
        <v>373</v>
      </c>
      <c r="F103" s="53">
        <v>2137953</v>
      </c>
      <c r="G103" s="54" t="s">
        <v>415</v>
      </c>
      <c r="H103" s="55">
        <v>17</v>
      </c>
      <c r="I103" s="46">
        <v>2026</v>
      </c>
      <c r="J103" s="56">
        <v>46235</v>
      </c>
      <c r="K103" s="56">
        <v>46280</v>
      </c>
      <c r="L103" s="57">
        <v>46</v>
      </c>
      <c r="M103" s="57">
        <v>2026</v>
      </c>
      <c r="N103" s="54" t="s">
        <v>542</v>
      </c>
      <c r="O103" s="54" t="s">
        <v>543</v>
      </c>
      <c r="P103" s="51" t="s">
        <v>108</v>
      </c>
      <c r="Q103" s="58">
        <v>17242954</v>
      </c>
      <c r="R103" s="47" t="s">
        <v>310</v>
      </c>
    </row>
    <row r="104" spans="1:18" x14ac:dyDescent="0.25">
      <c r="A104" s="52">
        <v>103</v>
      </c>
      <c r="B104" s="61">
        <v>12792283</v>
      </c>
      <c r="C104" s="47" t="s">
        <v>544</v>
      </c>
      <c r="D104" s="47" t="s">
        <v>545</v>
      </c>
      <c r="E104" s="47" t="s">
        <v>373</v>
      </c>
      <c r="F104" s="53">
        <v>8050010</v>
      </c>
      <c r="G104" s="54">
        <v>44008</v>
      </c>
      <c r="H104" s="55">
        <v>5</v>
      </c>
      <c r="I104" s="46">
        <v>2026</v>
      </c>
      <c r="J104" s="56">
        <v>46235</v>
      </c>
      <c r="K104" s="56">
        <v>46280</v>
      </c>
      <c r="L104" s="57">
        <v>46</v>
      </c>
      <c r="M104" s="57">
        <v>2026</v>
      </c>
      <c r="N104" s="54"/>
      <c r="O104" s="54" t="s">
        <v>546</v>
      </c>
      <c r="P104" s="51" t="s">
        <v>108</v>
      </c>
      <c r="Q104" s="58">
        <v>17242954</v>
      </c>
      <c r="R104" s="47" t="s">
        <v>138</v>
      </c>
    </row>
    <row r="105" spans="1:18" x14ac:dyDescent="0.25">
      <c r="A105" s="52">
        <v>104</v>
      </c>
      <c r="B105" s="64">
        <v>19446707</v>
      </c>
      <c r="C105" s="47" t="s">
        <v>547</v>
      </c>
      <c r="D105" s="47" t="s">
        <v>548</v>
      </c>
      <c r="E105" s="47" t="s">
        <v>373</v>
      </c>
      <c r="F105" s="53">
        <v>8044824</v>
      </c>
      <c r="G105" s="54" t="s">
        <v>374</v>
      </c>
      <c r="H105" s="55">
        <v>6</v>
      </c>
      <c r="I105" s="46">
        <v>2026</v>
      </c>
      <c r="J105" s="56">
        <v>46235</v>
      </c>
      <c r="K105" s="56">
        <v>46280</v>
      </c>
      <c r="L105" s="57">
        <v>46</v>
      </c>
      <c r="M105" s="57">
        <v>2026</v>
      </c>
      <c r="N105" s="54" t="s">
        <v>549</v>
      </c>
      <c r="O105" s="54" t="s">
        <v>550</v>
      </c>
      <c r="P105" s="51" t="s">
        <v>108</v>
      </c>
      <c r="Q105" s="58">
        <v>17242954</v>
      </c>
      <c r="R105" s="47" t="s">
        <v>400</v>
      </c>
    </row>
    <row r="106" spans="1:18" x14ac:dyDescent="0.25">
      <c r="A106" s="52">
        <v>105</v>
      </c>
      <c r="B106" s="61">
        <v>10884281</v>
      </c>
      <c r="C106" s="47" t="s">
        <v>551</v>
      </c>
      <c r="D106" s="47" t="s">
        <v>552</v>
      </c>
      <c r="E106" s="47" t="s">
        <v>373</v>
      </c>
      <c r="F106" s="53">
        <v>2129777</v>
      </c>
      <c r="G106" s="54" t="s">
        <v>391</v>
      </c>
      <c r="H106" s="55">
        <v>17</v>
      </c>
      <c r="I106" s="46">
        <v>2026</v>
      </c>
      <c r="J106" s="56">
        <v>46235</v>
      </c>
      <c r="K106" s="56">
        <v>46280</v>
      </c>
      <c r="L106" s="57">
        <v>46</v>
      </c>
      <c r="M106" s="57">
        <v>2026</v>
      </c>
      <c r="N106" s="54" t="s">
        <v>553</v>
      </c>
      <c r="O106" s="54" t="s">
        <v>554</v>
      </c>
      <c r="P106" s="51" t="s">
        <v>108</v>
      </c>
      <c r="Q106" s="58">
        <v>17242954</v>
      </c>
      <c r="R106" s="47" t="s">
        <v>555</v>
      </c>
    </row>
    <row r="107" spans="1:18" x14ac:dyDescent="0.25">
      <c r="A107" s="52">
        <v>106</v>
      </c>
      <c r="B107" s="63">
        <v>12058709</v>
      </c>
      <c r="C107" s="47" t="s">
        <v>556</v>
      </c>
      <c r="D107" s="47" t="s">
        <v>557</v>
      </c>
      <c r="E107" s="47" t="s">
        <v>373</v>
      </c>
      <c r="F107" s="53">
        <v>2090735</v>
      </c>
      <c r="G107" s="54" t="s">
        <v>558</v>
      </c>
      <c r="H107" s="55">
        <v>20</v>
      </c>
      <c r="I107" s="46">
        <v>2026</v>
      </c>
      <c r="J107" s="56">
        <v>46235</v>
      </c>
      <c r="K107" s="56">
        <v>46280</v>
      </c>
      <c r="L107" s="57">
        <v>46</v>
      </c>
      <c r="M107" s="57">
        <v>2026</v>
      </c>
      <c r="N107" s="54" t="s">
        <v>559</v>
      </c>
      <c r="O107" s="54" t="s">
        <v>560</v>
      </c>
      <c r="P107" s="51" t="s">
        <v>108</v>
      </c>
      <c r="Q107" s="58">
        <v>17242954</v>
      </c>
      <c r="R107" s="47" t="s">
        <v>138</v>
      </c>
    </row>
    <row r="108" spans="1:18" x14ac:dyDescent="0.25">
      <c r="A108" s="52">
        <v>107</v>
      </c>
      <c r="B108" s="63">
        <v>18652761</v>
      </c>
      <c r="C108" s="47" t="s">
        <v>561</v>
      </c>
      <c r="D108" s="47" t="s">
        <v>548</v>
      </c>
      <c r="E108" s="47" t="s">
        <v>373</v>
      </c>
      <c r="F108" s="53">
        <v>8044805</v>
      </c>
      <c r="G108" s="54" t="s">
        <v>374</v>
      </c>
      <c r="H108" s="55">
        <v>6</v>
      </c>
      <c r="I108" s="46">
        <v>2026</v>
      </c>
      <c r="J108" s="56">
        <v>46235</v>
      </c>
      <c r="K108" s="56">
        <v>46280</v>
      </c>
      <c r="L108" s="57">
        <v>46</v>
      </c>
      <c r="M108" s="57">
        <v>2026</v>
      </c>
      <c r="N108" s="54" t="s">
        <v>562</v>
      </c>
      <c r="O108" s="54" t="s">
        <v>563</v>
      </c>
      <c r="P108" s="51" t="s">
        <v>108</v>
      </c>
      <c r="Q108" s="58">
        <v>17242954</v>
      </c>
      <c r="R108" s="47" t="s">
        <v>138</v>
      </c>
    </row>
    <row r="109" spans="1:18" x14ac:dyDescent="0.25">
      <c r="A109" s="52">
        <v>108</v>
      </c>
      <c r="B109" s="61">
        <v>17090104</v>
      </c>
      <c r="C109" s="47" t="s">
        <v>564</v>
      </c>
      <c r="D109" s="47" t="s">
        <v>565</v>
      </c>
      <c r="E109" s="47" t="s">
        <v>373</v>
      </c>
      <c r="F109" s="53">
        <v>2138019</v>
      </c>
      <c r="G109" s="54" t="s">
        <v>566</v>
      </c>
      <c r="H109" s="55">
        <v>17</v>
      </c>
      <c r="I109" s="46">
        <v>2026</v>
      </c>
      <c r="J109" s="56">
        <v>46235</v>
      </c>
      <c r="K109" s="56">
        <v>46280</v>
      </c>
      <c r="L109" s="57">
        <v>46</v>
      </c>
      <c r="M109" s="57">
        <v>2026</v>
      </c>
      <c r="N109" s="54" t="s">
        <v>567</v>
      </c>
      <c r="O109" s="54" t="s">
        <v>568</v>
      </c>
      <c r="P109" s="51" t="s">
        <v>108</v>
      </c>
      <c r="Q109" s="58">
        <v>17242954</v>
      </c>
      <c r="R109" s="47" t="s">
        <v>155</v>
      </c>
    </row>
    <row r="110" spans="1:18" x14ac:dyDescent="0.25">
      <c r="A110" s="52">
        <v>109</v>
      </c>
      <c r="B110" s="61">
        <v>12794086</v>
      </c>
      <c r="C110" s="47" t="s">
        <v>569</v>
      </c>
      <c r="D110" s="47" t="s">
        <v>570</v>
      </c>
      <c r="E110" s="47" t="s">
        <v>373</v>
      </c>
      <c r="F110" s="53">
        <v>8061213</v>
      </c>
      <c r="G110" s="54">
        <v>44704</v>
      </c>
      <c r="H110" s="55">
        <v>4</v>
      </c>
      <c r="I110" s="46">
        <v>2026</v>
      </c>
      <c r="J110" s="56">
        <v>46235</v>
      </c>
      <c r="K110" s="56">
        <v>46280</v>
      </c>
      <c r="L110" s="57">
        <v>46</v>
      </c>
      <c r="M110" s="57">
        <v>2026</v>
      </c>
      <c r="N110" s="54"/>
      <c r="O110" s="54" t="s">
        <v>571</v>
      </c>
      <c r="P110" s="51" t="s">
        <v>108</v>
      </c>
      <c r="Q110" s="58">
        <v>17242954</v>
      </c>
      <c r="R110" s="47" t="s">
        <v>138</v>
      </c>
    </row>
  </sheetData>
  <sheetProtection selectLockedCells="1" selectUnlockedCells="1"/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38"/>
  <sheetViews>
    <sheetView zoomScale="81" zoomScaleNormal="81" workbookViewId="0">
      <selection activeCell="B47" sqref="B47"/>
    </sheetView>
  </sheetViews>
  <sheetFormatPr baseColWidth="10" defaultRowHeight="15" x14ac:dyDescent="0.25"/>
  <cols>
    <col min="1" max="1" width="48" customWidth="1"/>
    <col min="2" max="2" width="46.85546875" customWidth="1"/>
    <col min="3" max="3" width="130.42578125" customWidth="1"/>
  </cols>
  <sheetData>
    <row r="3" spans="1:3" x14ac:dyDescent="0.25">
      <c r="A3" s="13" t="s">
        <v>41</v>
      </c>
      <c r="C3" s="13" t="s">
        <v>13</v>
      </c>
    </row>
    <row r="4" spans="1:3" x14ac:dyDescent="0.25">
      <c r="A4" t="s">
        <v>17</v>
      </c>
      <c r="C4" s="11" t="s">
        <v>14</v>
      </c>
    </row>
    <row r="5" spans="1:3" x14ac:dyDescent="0.25">
      <c r="A5" t="s">
        <v>18</v>
      </c>
      <c r="C5" s="11" t="s">
        <v>7</v>
      </c>
    </row>
    <row r="6" spans="1:3" x14ac:dyDescent="0.25">
      <c r="A6" t="s">
        <v>19</v>
      </c>
      <c r="C6" s="11" t="s">
        <v>8</v>
      </c>
    </row>
    <row r="7" spans="1:3" x14ac:dyDescent="0.25">
      <c r="A7" t="s">
        <v>20</v>
      </c>
      <c r="C7" s="11" t="s">
        <v>9</v>
      </c>
    </row>
    <row r="8" spans="1:3" x14ac:dyDescent="0.25">
      <c r="C8" s="11" t="s">
        <v>12</v>
      </c>
    </row>
    <row r="9" spans="1:3" x14ac:dyDescent="0.25">
      <c r="C9" s="11" t="s">
        <v>15</v>
      </c>
    </row>
    <row r="10" spans="1:3" x14ac:dyDescent="0.25">
      <c r="A10" s="13" t="s">
        <v>42</v>
      </c>
      <c r="C10" s="11" t="s">
        <v>16</v>
      </c>
    </row>
    <row r="11" spans="1:3" x14ac:dyDescent="0.25">
      <c r="A11" t="s">
        <v>21</v>
      </c>
      <c r="C11" s="11" t="s">
        <v>27</v>
      </c>
    </row>
    <row r="12" spans="1:3" x14ac:dyDescent="0.25">
      <c r="A12" t="s">
        <v>22</v>
      </c>
      <c r="C12" s="11"/>
    </row>
    <row r="13" spans="1:3" x14ac:dyDescent="0.25">
      <c r="C13" s="11"/>
    </row>
    <row r="14" spans="1:3" x14ac:dyDescent="0.25">
      <c r="C14" s="11"/>
    </row>
    <row r="15" spans="1:3" x14ac:dyDescent="0.25">
      <c r="A15" s="13" t="s">
        <v>43</v>
      </c>
      <c r="C15" s="11"/>
    </row>
    <row r="16" spans="1:3" x14ac:dyDescent="0.25">
      <c r="A16" t="s">
        <v>38</v>
      </c>
      <c r="C16" s="11"/>
    </row>
    <row r="17" spans="1:3" x14ac:dyDescent="0.25">
      <c r="A17" t="s">
        <v>39</v>
      </c>
      <c r="C17" s="11"/>
    </row>
    <row r="18" spans="1:3" x14ac:dyDescent="0.25">
      <c r="A18" t="s">
        <v>40</v>
      </c>
      <c r="C18" s="11"/>
    </row>
    <row r="19" spans="1:3" x14ac:dyDescent="0.25">
      <c r="C19" s="11"/>
    </row>
    <row r="20" spans="1:3" x14ac:dyDescent="0.25">
      <c r="C20" s="11"/>
    </row>
    <row r="21" spans="1:3" x14ac:dyDescent="0.25">
      <c r="A21" s="13" t="s">
        <v>29</v>
      </c>
      <c r="C21" s="11"/>
    </row>
    <row r="22" spans="1:3" x14ac:dyDescent="0.25">
      <c r="A22" t="s">
        <v>32</v>
      </c>
      <c r="C22" s="11"/>
    </row>
    <row r="23" spans="1:3" x14ac:dyDescent="0.25">
      <c r="A23" t="s">
        <v>30</v>
      </c>
      <c r="C23" s="11"/>
    </row>
    <row r="24" spans="1:3" x14ac:dyDescent="0.25">
      <c r="A24" t="s">
        <v>31</v>
      </c>
      <c r="C24" s="11"/>
    </row>
    <row r="25" spans="1:3" x14ac:dyDescent="0.25">
      <c r="C25" s="11"/>
    </row>
    <row r="26" spans="1:3" x14ac:dyDescent="0.25">
      <c r="C26" s="11"/>
    </row>
    <row r="27" spans="1:3" x14ac:dyDescent="0.25">
      <c r="C27" s="11"/>
    </row>
    <row r="28" spans="1:3" x14ac:dyDescent="0.25">
      <c r="C28" s="11"/>
    </row>
    <row r="29" spans="1:3" x14ac:dyDescent="0.25">
      <c r="C29" s="11"/>
    </row>
    <row r="30" spans="1:3" x14ac:dyDescent="0.25">
      <c r="C30" s="11"/>
    </row>
    <row r="31" spans="1:3" x14ac:dyDescent="0.25">
      <c r="C31" s="10"/>
    </row>
    <row r="33" spans="3:3" x14ac:dyDescent="0.25">
      <c r="C33" s="11"/>
    </row>
    <row r="35" spans="3:3" x14ac:dyDescent="0.25">
      <c r="C35" s="11"/>
    </row>
    <row r="37" spans="3:3" x14ac:dyDescent="0.25">
      <c r="C37" s="11"/>
    </row>
    <row r="38" spans="3:3" x14ac:dyDescent="0.25">
      <c r="C38" s="1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76"/>
  <sheetViews>
    <sheetView tabSelected="1" zoomScale="70" zoomScaleNormal="70" workbookViewId="0">
      <pane xSplit="3" ySplit="2" topLeftCell="F35" activePane="bottomRight" state="frozen"/>
      <selection pane="topRight" activeCell="D1" sqref="D1"/>
      <selection pane="bottomLeft" activeCell="A3" sqref="A3"/>
      <selection pane="bottomRight" activeCell="G3" sqref="G3"/>
    </sheetView>
  </sheetViews>
  <sheetFormatPr baseColWidth="10" defaultRowHeight="15" x14ac:dyDescent="0.25"/>
  <cols>
    <col min="1" max="1" width="3.28515625" customWidth="1"/>
    <col min="2" max="2" width="12.140625" customWidth="1"/>
    <col min="3" max="3" width="37.7109375" bestFit="1" customWidth="1"/>
    <col min="4" max="4" width="37.7109375" customWidth="1"/>
    <col min="5" max="5" width="23" customWidth="1"/>
    <col min="6" max="6" width="11.28515625" bestFit="1" customWidth="1"/>
    <col min="7" max="7" width="9.5703125" customWidth="1"/>
    <col min="8" max="8" width="10.42578125" hidden="1" customWidth="1"/>
    <col min="9" max="9" width="11.28515625" hidden="1" customWidth="1"/>
    <col min="10" max="10" width="13.140625" hidden="1" customWidth="1"/>
    <col min="11" max="11" width="20.140625" customWidth="1"/>
    <col min="12" max="12" width="15" customWidth="1"/>
    <col min="13" max="13" width="16.140625" customWidth="1"/>
    <col min="14" max="14" width="18" customWidth="1"/>
    <col min="15" max="15" width="16.7109375" customWidth="1"/>
    <col min="16" max="16" width="21.42578125" customWidth="1"/>
    <col min="17" max="17" width="33.7109375" bestFit="1" customWidth="1"/>
    <col min="18" max="18" width="28.28515625" bestFit="1" customWidth="1"/>
    <col min="19" max="19" width="32.42578125" bestFit="1" customWidth="1"/>
    <col min="20" max="20" width="54" customWidth="1"/>
    <col min="21" max="21" width="21.28515625" customWidth="1"/>
    <col min="22" max="22" width="85.28515625" customWidth="1"/>
  </cols>
  <sheetData>
    <row r="1" spans="1:28" s="2" customFormat="1" ht="18.75" x14ac:dyDescent="0.3">
      <c r="A1" s="71" t="s">
        <v>34</v>
      </c>
      <c r="B1" s="71"/>
      <c r="C1" s="71"/>
      <c r="D1" s="71"/>
      <c r="E1" s="71"/>
      <c r="F1" s="71"/>
      <c r="G1" s="71"/>
      <c r="H1" s="67"/>
      <c r="I1" s="67"/>
      <c r="J1" s="67"/>
      <c r="K1" s="71"/>
      <c r="L1" s="71"/>
      <c r="M1" s="71"/>
      <c r="N1" s="71"/>
    </row>
    <row r="2" spans="1:28" s="2" customFormat="1" x14ac:dyDescent="0.25">
      <c r="A2" s="12"/>
      <c r="B2" s="12" t="s">
        <v>33</v>
      </c>
      <c r="C2" s="68" t="s">
        <v>106</v>
      </c>
      <c r="D2" s="69"/>
      <c r="E2" s="12"/>
      <c r="F2" s="12"/>
      <c r="H2" s="5"/>
      <c r="I2" s="5"/>
    </row>
    <row r="3" spans="1:28" s="2" customFormat="1" x14ac:dyDescent="0.25">
      <c r="A3" s="1"/>
      <c r="B3" s="70" t="s">
        <v>46</v>
      </c>
      <c r="C3" s="6">
        <v>60</v>
      </c>
      <c r="E3" s="3"/>
      <c r="F3" s="4"/>
      <c r="H3" s="5"/>
      <c r="I3" s="5"/>
    </row>
    <row r="4" spans="1:28" s="2" customFormat="1" x14ac:dyDescent="0.25">
      <c r="A4" s="1"/>
      <c r="B4" s="70" t="s">
        <v>617</v>
      </c>
      <c r="E4" s="3"/>
      <c r="F4" s="4"/>
      <c r="H4" s="5"/>
      <c r="I4" s="5"/>
    </row>
    <row r="5" spans="1:28" s="2" customFormat="1" x14ac:dyDescent="0.25">
      <c r="A5" s="1"/>
      <c r="B5" s="70" t="s">
        <v>47</v>
      </c>
      <c r="E5" s="3"/>
      <c r="F5" s="4"/>
      <c r="H5" s="5"/>
      <c r="I5" s="5"/>
    </row>
    <row r="6" spans="1:28" s="2" customFormat="1" x14ac:dyDescent="0.25">
      <c r="A6" s="1"/>
      <c r="B6" s="1"/>
      <c r="E6" s="4"/>
      <c r="F6" s="6"/>
      <c r="G6" s="6"/>
      <c r="H6" s="4"/>
      <c r="I6" s="4"/>
      <c r="J6" s="6"/>
      <c r="K6" s="6"/>
      <c r="L6" s="6"/>
    </row>
    <row r="7" spans="1:28" s="9" customFormat="1" ht="56.25" x14ac:dyDescent="0.2">
      <c r="A7" s="32" t="s">
        <v>45</v>
      </c>
      <c r="B7" s="32" t="s">
        <v>0</v>
      </c>
      <c r="C7" s="7" t="s">
        <v>1</v>
      </c>
      <c r="D7" s="7" t="s">
        <v>11</v>
      </c>
      <c r="E7" s="7" t="s">
        <v>2</v>
      </c>
      <c r="F7" s="8" t="s">
        <v>3</v>
      </c>
      <c r="G7" s="7" t="s">
        <v>26</v>
      </c>
      <c r="H7" s="8" t="s">
        <v>4</v>
      </c>
      <c r="I7" s="8" t="s">
        <v>5</v>
      </c>
      <c r="J7" s="8" t="s">
        <v>6</v>
      </c>
      <c r="K7" s="8" t="s">
        <v>44</v>
      </c>
      <c r="L7" s="8" t="s">
        <v>25</v>
      </c>
      <c r="M7" s="8" t="s">
        <v>24</v>
      </c>
      <c r="N7" s="8" t="s">
        <v>10</v>
      </c>
      <c r="O7" s="8" t="s">
        <v>23</v>
      </c>
      <c r="P7" s="8" t="s">
        <v>10</v>
      </c>
      <c r="Q7" s="8" t="s">
        <v>36</v>
      </c>
      <c r="R7" s="8" t="s">
        <v>35</v>
      </c>
      <c r="S7" s="8" t="s">
        <v>37</v>
      </c>
      <c r="T7" s="8" t="s">
        <v>13</v>
      </c>
      <c r="U7" s="8" t="s">
        <v>10</v>
      </c>
      <c r="V7" s="8" t="s">
        <v>29</v>
      </c>
      <c r="W7" s="9" t="s">
        <v>28</v>
      </c>
      <c r="AB7" s="9">
        <v>1</v>
      </c>
    </row>
    <row r="8" spans="1:28" s="2" customFormat="1" ht="21" customHeight="1" x14ac:dyDescent="0.25">
      <c r="A8" s="14">
        <v>1</v>
      </c>
      <c r="B8" s="15">
        <v>17780095</v>
      </c>
      <c r="C8" s="16" t="s">
        <v>48</v>
      </c>
      <c r="D8" s="18" t="s">
        <v>109</v>
      </c>
      <c r="E8" s="18" t="s">
        <v>110</v>
      </c>
      <c r="F8" s="19">
        <f>VLOOKUP(B8,Hoja2_2!$B$2:$G$110,6,0)</f>
        <v>41127</v>
      </c>
      <c r="G8" s="20">
        <f ca="1">DATEDIF(F8,TODAY(),"y")</f>
        <v>13</v>
      </c>
      <c r="H8" s="21"/>
      <c r="I8" s="21"/>
      <c r="J8" s="20"/>
      <c r="K8" s="20" t="s">
        <v>19</v>
      </c>
      <c r="L8" s="20">
        <v>3</v>
      </c>
      <c r="M8" s="30" t="s">
        <v>22</v>
      </c>
      <c r="N8" s="30" t="s">
        <v>573</v>
      </c>
      <c r="O8" s="30" t="s">
        <v>576</v>
      </c>
      <c r="P8" s="30"/>
      <c r="Q8" s="30" t="s">
        <v>577</v>
      </c>
      <c r="R8" s="65">
        <v>17483709</v>
      </c>
      <c r="S8" s="30" t="s">
        <v>38</v>
      </c>
      <c r="T8" s="30" t="s">
        <v>15</v>
      </c>
      <c r="U8" s="30"/>
      <c r="V8" s="30"/>
    </row>
    <row r="9" spans="1:28" s="2" customFormat="1" ht="21" customHeight="1" x14ac:dyDescent="0.25">
      <c r="A9" s="14">
        <v>2</v>
      </c>
      <c r="B9" s="15">
        <v>18788707</v>
      </c>
      <c r="C9" s="17" t="s">
        <v>49</v>
      </c>
      <c r="D9" s="18" t="s">
        <v>109</v>
      </c>
      <c r="E9" s="18" t="s">
        <v>110</v>
      </c>
      <c r="F9" s="19">
        <f>VLOOKUP(B9,Hoja2_2!$B$2:$G$110,6,0)</f>
        <v>41008</v>
      </c>
      <c r="G9" s="20">
        <f t="shared" ref="G9:G67" ca="1" si="0">DATEDIF(F9,TODAY(),"y")</f>
        <v>14</v>
      </c>
      <c r="H9" s="21"/>
      <c r="I9" s="21"/>
      <c r="J9" s="20"/>
      <c r="K9" s="20" t="s">
        <v>20</v>
      </c>
      <c r="L9" s="20">
        <v>3</v>
      </c>
      <c r="M9" s="30" t="s">
        <v>22</v>
      </c>
      <c r="N9" s="30" t="s">
        <v>573</v>
      </c>
      <c r="O9" s="30" t="s">
        <v>576</v>
      </c>
      <c r="P9" s="30"/>
      <c r="Q9" s="30" t="s">
        <v>611</v>
      </c>
      <c r="R9" s="65">
        <v>17242954</v>
      </c>
      <c r="S9" s="30" t="s">
        <v>38</v>
      </c>
      <c r="T9" s="30" t="s">
        <v>27</v>
      </c>
      <c r="U9" s="30"/>
      <c r="V9" s="30"/>
    </row>
    <row r="10" spans="1:28" s="2" customFormat="1" ht="21" customHeight="1" x14ac:dyDescent="0.25">
      <c r="A10" s="14">
        <v>3</v>
      </c>
      <c r="B10" s="15">
        <v>14367610</v>
      </c>
      <c r="C10" s="17" t="s">
        <v>50</v>
      </c>
      <c r="D10" s="18" t="s">
        <v>109</v>
      </c>
      <c r="E10" s="18" t="s">
        <v>110</v>
      </c>
      <c r="F10" s="19">
        <f>VLOOKUP(B10,Hoja2_2!$B$2:$G$110,6,0)</f>
        <v>38631</v>
      </c>
      <c r="G10" s="20">
        <f t="shared" ca="1" si="0"/>
        <v>20</v>
      </c>
      <c r="H10" s="21"/>
      <c r="I10" s="21"/>
      <c r="J10" s="20"/>
      <c r="K10" s="20" t="s">
        <v>20</v>
      </c>
      <c r="L10" s="20">
        <v>3</v>
      </c>
      <c r="M10" s="30" t="s">
        <v>22</v>
      </c>
      <c r="N10" s="30" t="s">
        <v>573</v>
      </c>
      <c r="O10" s="30" t="s">
        <v>576</v>
      </c>
      <c r="P10" s="30"/>
      <c r="Q10" s="30" t="s">
        <v>578</v>
      </c>
      <c r="R10" s="65">
        <v>12538506</v>
      </c>
      <c r="S10" s="30" t="s">
        <v>40</v>
      </c>
      <c r="T10" s="30" t="s">
        <v>27</v>
      </c>
      <c r="U10" s="30"/>
      <c r="V10" s="30"/>
    </row>
    <row r="11" spans="1:28" s="2" customFormat="1" ht="21" customHeight="1" x14ac:dyDescent="0.25">
      <c r="A11" s="14">
        <v>4</v>
      </c>
      <c r="B11" s="15">
        <v>14101477</v>
      </c>
      <c r="C11" s="17" t="s">
        <v>51</v>
      </c>
      <c r="D11" s="18" t="s">
        <v>109</v>
      </c>
      <c r="E11" s="18" t="s">
        <v>110</v>
      </c>
      <c r="F11" s="19">
        <f>VLOOKUP(B11,Hoja2_2!$B$2:$G$110,6,0)</f>
        <v>38412</v>
      </c>
      <c r="G11" s="20">
        <f t="shared" ca="1" si="0"/>
        <v>21</v>
      </c>
      <c r="H11" s="21"/>
      <c r="I11" s="21"/>
      <c r="J11" s="20"/>
      <c r="K11" s="20" t="s">
        <v>20</v>
      </c>
      <c r="L11" s="20">
        <v>3</v>
      </c>
      <c r="M11" s="30" t="s">
        <v>22</v>
      </c>
      <c r="N11" s="30" t="s">
        <v>573</v>
      </c>
      <c r="O11" s="30" t="s">
        <v>576</v>
      </c>
      <c r="P11" s="30"/>
      <c r="Q11" s="30" t="s">
        <v>579</v>
      </c>
      <c r="R11" s="65">
        <v>11446707</v>
      </c>
      <c r="S11" s="30" t="s">
        <v>40</v>
      </c>
      <c r="T11" s="30" t="s">
        <v>27</v>
      </c>
      <c r="U11" s="30"/>
      <c r="V11" s="30"/>
    </row>
    <row r="12" spans="1:28" s="2" customFormat="1" ht="21" hidden="1" customHeight="1" x14ac:dyDescent="0.25">
      <c r="A12" s="14">
        <v>5</v>
      </c>
      <c r="B12" s="22">
        <v>9286272</v>
      </c>
      <c r="C12" s="17" t="s">
        <v>52</v>
      </c>
      <c r="D12" s="18" t="s">
        <v>109</v>
      </c>
      <c r="E12" s="18" t="s">
        <v>110</v>
      </c>
      <c r="F12" s="19">
        <f>VLOOKUP(B12,Hoja2_2!$B$2:$G$110,6,0)</f>
        <v>34613</v>
      </c>
      <c r="G12" s="20">
        <f t="shared" ca="1" si="0"/>
        <v>31</v>
      </c>
      <c r="H12" s="21"/>
      <c r="I12" s="21"/>
      <c r="J12" s="20"/>
      <c r="K12" s="20" t="s">
        <v>20</v>
      </c>
      <c r="L12" s="20">
        <v>2</v>
      </c>
      <c r="M12" s="30" t="s">
        <v>22</v>
      </c>
      <c r="N12" s="30" t="s">
        <v>574</v>
      </c>
      <c r="O12" s="30" t="s">
        <v>576</v>
      </c>
      <c r="P12" s="30"/>
      <c r="Q12" s="30" t="s">
        <v>580</v>
      </c>
      <c r="R12" s="65">
        <v>84603455</v>
      </c>
      <c r="S12" s="30" t="s">
        <v>40</v>
      </c>
      <c r="T12" s="30" t="s">
        <v>27</v>
      </c>
      <c r="U12" s="30"/>
      <c r="V12" s="30"/>
    </row>
    <row r="13" spans="1:28" s="2" customFormat="1" ht="21" hidden="1" customHeight="1" x14ac:dyDescent="0.25">
      <c r="A13" s="23">
        <v>6</v>
      </c>
      <c r="B13" s="24">
        <v>14110180</v>
      </c>
      <c r="C13" s="25" t="s">
        <v>53</v>
      </c>
      <c r="D13" s="26" t="s">
        <v>109</v>
      </c>
      <c r="E13" s="26" t="s">
        <v>110</v>
      </c>
      <c r="F13" s="27">
        <f>VLOOKUP(B13,Hoja2_2!$B$2:$G$110,6,0)</f>
        <v>41008</v>
      </c>
      <c r="G13" s="28">
        <f t="shared" ca="1" si="0"/>
        <v>14</v>
      </c>
      <c r="H13" s="29"/>
      <c r="I13" s="29"/>
      <c r="J13" s="28"/>
      <c r="K13" s="28" t="s">
        <v>17</v>
      </c>
      <c r="L13" s="28">
        <v>2</v>
      </c>
      <c r="M13" s="31" t="s">
        <v>22</v>
      </c>
      <c r="N13" s="33" t="s">
        <v>575</v>
      </c>
      <c r="O13" s="31" t="s">
        <v>576</v>
      </c>
      <c r="P13" s="31"/>
      <c r="Q13" s="31" t="s">
        <v>581</v>
      </c>
      <c r="R13" s="66">
        <v>14703374</v>
      </c>
      <c r="S13" s="31" t="s">
        <v>40</v>
      </c>
      <c r="T13" s="31" t="s">
        <v>27</v>
      </c>
      <c r="U13" s="31"/>
      <c r="V13" s="31"/>
    </row>
    <row r="14" spans="1:28" s="2" customFormat="1" ht="21" customHeight="1" x14ac:dyDescent="0.25">
      <c r="A14" s="23">
        <v>7</v>
      </c>
      <c r="B14" s="24">
        <v>14622890</v>
      </c>
      <c r="C14" s="25" t="s">
        <v>54</v>
      </c>
      <c r="D14" s="26" t="s">
        <v>109</v>
      </c>
      <c r="E14" s="26" t="s">
        <v>110</v>
      </c>
      <c r="F14" s="27">
        <f>VLOOKUP(B14,Hoja2_2!$B$2:$G$110,6,0)</f>
        <v>43473</v>
      </c>
      <c r="G14" s="28">
        <f t="shared" ca="1" si="0"/>
        <v>7</v>
      </c>
      <c r="H14" s="29"/>
      <c r="I14" s="29"/>
      <c r="J14" s="28"/>
      <c r="K14" s="28" t="s">
        <v>17</v>
      </c>
      <c r="L14" s="28">
        <v>2</v>
      </c>
      <c r="M14" s="31" t="s">
        <v>22</v>
      </c>
      <c r="N14" s="33" t="s">
        <v>573</v>
      </c>
      <c r="O14" s="31" t="s">
        <v>576</v>
      </c>
      <c r="P14" s="31"/>
      <c r="Q14" s="31" t="s">
        <v>582</v>
      </c>
      <c r="R14" s="66">
        <v>11006024</v>
      </c>
      <c r="S14" s="31" t="s">
        <v>40</v>
      </c>
      <c r="T14" s="31" t="s">
        <v>7</v>
      </c>
      <c r="U14" s="31"/>
      <c r="V14" s="31"/>
    </row>
    <row r="15" spans="1:28" s="2" customFormat="1" ht="21" customHeight="1" x14ac:dyDescent="0.25">
      <c r="A15" s="23">
        <v>8</v>
      </c>
      <c r="B15" s="24">
        <v>13915005</v>
      </c>
      <c r="C15" s="25" t="s">
        <v>55</v>
      </c>
      <c r="D15" s="26" t="s">
        <v>109</v>
      </c>
      <c r="E15" s="26" t="s">
        <v>110</v>
      </c>
      <c r="F15" s="27">
        <f>VLOOKUP(B15,Hoja2_2!$B$2:$G$110,6,0)</f>
        <v>37907</v>
      </c>
      <c r="G15" s="28">
        <f t="shared" ca="1" si="0"/>
        <v>22</v>
      </c>
      <c r="H15" s="29"/>
      <c r="I15" s="29"/>
      <c r="J15" s="28"/>
      <c r="K15" s="28" t="s">
        <v>20</v>
      </c>
      <c r="L15" s="28">
        <v>2</v>
      </c>
      <c r="M15" s="31" t="s">
        <v>22</v>
      </c>
      <c r="N15" s="33" t="s">
        <v>573</v>
      </c>
      <c r="O15" s="31" t="s">
        <v>576</v>
      </c>
      <c r="P15" s="31"/>
      <c r="Q15" s="31"/>
      <c r="R15" s="66"/>
      <c r="S15" s="31"/>
      <c r="T15" s="31" t="s">
        <v>27</v>
      </c>
      <c r="U15" s="31"/>
      <c r="V15" s="31"/>
    </row>
    <row r="16" spans="1:28" s="2" customFormat="1" ht="21" customHeight="1" x14ac:dyDescent="0.25">
      <c r="A16" s="23">
        <v>9</v>
      </c>
      <c r="B16" s="24">
        <v>22714341</v>
      </c>
      <c r="C16" s="25" t="s">
        <v>56</v>
      </c>
      <c r="D16" s="26" t="s">
        <v>109</v>
      </c>
      <c r="E16" s="26" t="s">
        <v>110</v>
      </c>
      <c r="F16" s="27">
        <f>VLOOKUP(B16,Hoja2_2!$B$2:$G$110,6,0)</f>
        <v>43473</v>
      </c>
      <c r="G16" s="28">
        <f t="shared" ca="1" si="0"/>
        <v>7</v>
      </c>
      <c r="H16" s="29"/>
      <c r="I16" s="29"/>
      <c r="J16" s="28"/>
      <c r="K16" s="28" t="s">
        <v>17</v>
      </c>
      <c r="L16" s="28">
        <v>2</v>
      </c>
      <c r="M16" s="31" t="s">
        <v>22</v>
      </c>
      <c r="N16" s="33" t="s">
        <v>573</v>
      </c>
      <c r="O16" s="31" t="s">
        <v>576</v>
      </c>
      <c r="P16" s="31"/>
      <c r="Q16" s="31"/>
      <c r="R16" s="66"/>
      <c r="S16" s="31"/>
      <c r="T16" s="31" t="s">
        <v>14</v>
      </c>
      <c r="U16" s="31"/>
      <c r="V16" s="31"/>
    </row>
    <row r="17" spans="1:22" s="2" customFormat="1" ht="21" customHeight="1" x14ac:dyDescent="0.25">
      <c r="A17" s="23">
        <v>10</v>
      </c>
      <c r="B17" s="24">
        <v>12891949</v>
      </c>
      <c r="C17" s="25" t="s">
        <v>57</v>
      </c>
      <c r="D17" s="26" t="s">
        <v>109</v>
      </c>
      <c r="E17" s="26" t="s">
        <v>110</v>
      </c>
      <c r="F17" s="27">
        <f>VLOOKUP(B17,Hoja2_2!$B$2:$G$110,6,0)</f>
        <v>38621</v>
      </c>
      <c r="G17" s="28">
        <f t="shared" ca="1" si="0"/>
        <v>20</v>
      </c>
      <c r="H17" s="29"/>
      <c r="I17" s="29"/>
      <c r="J17" s="28"/>
      <c r="K17" s="28" t="s">
        <v>20</v>
      </c>
      <c r="L17" s="28">
        <v>3</v>
      </c>
      <c r="M17" s="31" t="s">
        <v>22</v>
      </c>
      <c r="N17" s="33" t="s">
        <v>573</v>
      </c>
      <c r="O17" s="31" t="s">
        <v>576</v>
      </c>
      <c r="P17" s="31"/>
      <c r="Q17" s="31" t="s">
        <v>583</v>
      </c>
      <c r="R17" s="66">
        <v>9094695</v>
      </c>
      <c r="S17" s="31" t="s">
        <v>40</v>
      </c>
      <c r="T17" s="31" t="s">
        <v>27</v>
      </c>
      <c r="U17" s="31"/>
      <c r="V17" s="31"/>
    </row>
    <row r="18" spans="1:22" s="2" customFormat="1" ht="21" customHeight="1" x14ac:dyDescent="0.25">
      <c r="A18" s="23">
        <v>11</v>
      </c>
      <c r="B18" s="24">
        <v>16375125</v>
      </c>
      <c r="C18" s="25" t="s">
        <v>58</v>
      </c>
      <c r="D18" s="26" t="s">
        <v>109</v>
      </c>
      <c r="E18" s="26" t="s">
        <v>110</v>
      </c>
      <c r="F18" s="27">
        <f>VLOOKUP(B18,Hoja2_2!$B$2:$G$110,6,0)</f>
        <v>39904</v>
      </c>
      <c r="G18" s="28">
        <f t="shared" ca="1" si="0"/>
        <v>17</v>
      </c>
      <c r="H18" s="29"/>
      <c r="I18" s="29"/>
      <c r="J18" s="28"/>
      <c r="K18" s="28" t="s">
        <v>20</v>
      </c>
      <c r="L18" s="28">
        <v>4</v>
      </c>
      <c r="M18" s="31" t="s">
        <v>22</v>
      </c>
      <c r="N18" s="33" t="s">
        <v>573</v>
      </c>
      <c r="O18" s="31" t="s">
        <v>576</v>
      </c>
      <c r="P18" s="31"/>
      <c r="Q18" s="31" t="s">
        <v>607</v>
      </c>
      <c r="R18" s="66">
        <v>15428693</v>
      </c>
      <c r="S18" s="31" t="s">
        <v>38</v>
      </c>
      <c r="T18" s="31" t="s">
        <v>27</v>
      </c>
      <c r="U18" s="31"/>
      <c r="V18" s="31"/>
    </row>
    <row r="19" spans="1:22" s="2" customFormat="1" ht="21" customHeight="1" x14ac:dyDescent="0.25">
      <c r="A19" s="23">
        <v>12</v>
      </c>
      <c r="B19" s="24">
        <v>17546584</v>
      </c>
      <c r="C19" s="25" t="s">
        <v>59</v>
      </c>
      <c r="D19" s="26" t="s">
        <v>109</v>
      </c>
      <c r="E19" s="26" t="s">
        <v>110</v>
      </c>
      <c r="F19" s="27">
        <f>VLOOKUP(B19,Hoja2_2!$B$2:$G$110,6,0)</f>
        <v>41008</v>
      </c>
      <c r="G19" s="28">
        <f t="shared" ca="1" si="0"/>
        <v>14</v>
      </c>
      <c r="H19" s="29"/>
      <c r="I19" s="29"/>
      <c r="J19" s="28"/>
      <c r="K19" s="28" t="s">
        <v>20</v>
      </c>
      <c r="L19" s="28">
        <v>4</v>
      </c>
      <c r="M19" s="31" t="s">
        <v>22</v>
      </c>
      <c r="N19" s="33" t="s">
        <v>573</v>
      </c>
      <c r="O19" s="31" t="s">
        <v>576</v>
      </c>
      <c r="P19" s="31"/>
      <c r="Q19" s="31" t="s">
        <v>584</v>
      </c>
      <c r="R19" s="66">
        <v>14111920</v>
      </c>
      <c r="S19" s="31" t="s">
        <v>40</v>
      </c>
      <c r="T19" s="31" t="s">
        <v>27</v>
      </c>
      <c r="U19" s="31"/>
      <c r="V19" s="31"/>
    </row>
    <row r="20" spans="1:22" s="2" customFormat="1" ht="21" hidden="1" customHeight="1" x14ac:dyDescent="0.25">
      <c r="A20" s="23">
        <v>13</v>
      </c>
      <c r="B20" s="24">
        <v>16374774</v>
      </c>
      <c r="C20" s="25" t="s">
        <v>60</v>
      </c>
      <c r="D20" s="26" t="s">
        <v>109</v>
      </c>
      <c r="E20" s="26" t="s">
        <v>110</v>
      </c>
      <c r="F20" s="27">
        <f>VLOOKUP(B20,Hoja2_2!$B$2:$G$110,6,0)</f>
        <v>41754</v>
      </c>
      <c r="G20" s="28">
        <f t="shared" ca="1" si="0"/>
        <v>12</v>
      </c>
      <c r="H20" s="29"/>
      <c r="I20" s="29"/>
      <c r="J20" s="28"/>
      <c r="K20" s="28" t="s">
        <v>17</v>
      </c>
      <c r="L20" s="28">
        <v>1</v>
      </c>
      <c r="M20" s="31" t="s">
        <v>22</v>
      </c>
      <c r="N20" s="33" t="s">
        <v>575</v>
      </c>
      <c r="O20" s="31" t="s">
        <v>576</v>
      </c>
      <c r="P20" s="31"/>
      <c r="Q20" s="31"/>
      <c r="R20" s="66"/>
      <c r="S20" s="31"/>
      <c r="T20" s="31" t="s">
        <v>27</v>
      </c>
      <c r="U20" s="31"/>
      <c r="V20" s="31"/>
    </row>
    <row r="21" spans="1:22" s="2" customFormat="1" ht="21" hidden="1" customHeight="1" x14ac:dyDescent="0.25">
      <c r="A21" s="23">
        <v>14</v>
      </c>
      <c r="B21" s="24">
        <v>16699098</v>
      </c>
      <c r="C21" s="25" t="s">
        <v>61</v>
      </c>
      <c r="D21" s="26" t="s">
        <v>109</v>
      </c>
      <c r="E21" s="26" t="s">
        <v>110</v>
      </c>
      <c r="F21" s="27">
        <f>VLOOKUP(B21,Hoja2_2!$B$2:$G$110,6,0)</f>
        <v>43473</v>
      </c>
      <c r="G21" s="28">
        <f t="shared" ca="1" si="0"/>
        <v>7</v>
      </c>
      <c r="H21" s="29"/>
      <c r="I21" s="29"/>
      <c r="J21" s="28"/>
      <c r="K21" s="28" t="s">
        <v>17</v>
      </c>
      <c r="L21" s="28">
        <v>2</v>
      </c>
      <c r="M21" s="31" t="s">
        <v>22</v>
      </c>
      <c r="N21" s="33" t="s">
        <v>575</v>
      </c>
      <c r="O21" s="31" t="s">
        <v>576</v>
      </c>
      <c r="P21" s="31"/>
      <c r="Q21" s="31" t="s">
        <v>585</v>
      </c>
      <c r="R21" s="66">
        <v>12792653</v>
      </c>
      <c r="S21" s="31" t="s">
        <v>38</v>
      </c>
      <c r="T21" s="31" t="s">
        <v>27</v>
      </c>
      <c r="U21" s="31"/>
      <c r="V21" s="31"/>
    </row>
    <row r="22" spans="1:22" s="2" customFormat="1" ht="21" customHeight="1" x14ac:dyDescent="0.25">
      <c r="A22" s="23">
        <v>15</v>
      </c>
      <c r="B22" s="24">
        <v>16397151</v>
      </c>
      <c r="C22" s="25" t="s">
        <v>62</v>
      </c>
      <c r="D22" s="26" t="s">
        <v>109</v>
      </c>
      <c r="E22" s="26" t="s">
        <v>110</v>
      </c>
      <c r="F22" s="27">
        <f>VLOOKUP(B22,Hoja2_2!$B$2:$G$110,6,0)</f>
        <v>41127</v>
      </c>
      <c r="G22" s="28">
        <f t="shared" ca="1" si="0"/>
        <v>13</v>
      </c>
      <c r="H22" s="29"/>
      <c r="I22" s="29"/>
      <c r="J22" s="28"/>
      <c r="K22" s="28" t="s">
        <v>20</v>
      </c>
      <c r="L22" s="28">
        <v>2</v>
      </c>
      <c r="M22" s="31" t="s">
        <v>22</v>
      </c>
      <c r="N22" s="33" t="s">
        <v>573</v>
      </c>
      <c r="O22" s="31" t="s">
        <v>576</v>
      </c>
      <c r="P22" s="31"/>
      <c r="Q22" s="31" t="s">
        <v>586</v>
      </c>
      <c r="R22" s="66">
        <v>15336800</v>
      </c>
      <c r="S22" s="31" t="s">
        <v>39</v>
      </c>
      <c r="T22" s="31" t="s">
        <v>27</v>
      </c>
      <c r="U22" s="31"/>
      <c r="V22" s="31"/>
    </row>
    <row r="23" spans="1:22" s="2" customFormat="1" ht="21" customHeight="1" x14ac:dyDescent="0.25">
      <c r="A23" s="23">
        <v>16</v>
      </c>
      <c r="B23" s="24">
        <v>18172869</v>
      </c>
      <c r="C23" s="25" t="s">
        <v>63</v>
      </c>
      <c r="D23" s="26" t="s">
        <v>109</v>
      </c>
      <c r="E23" s="26" t="s">
        <v>110</v>
      </c>
      <c r="F23" s="27">
        <f>VLOOKUP(B23,Hoja2_2!$B$2:$G$110,6,0)</f>
        <v>43473</v>
      </c>
      <c r="G23" s="28">
        <f t="shared" ca="1" si="0"/>
        <v>7</v>
      </c>
      <c r="H23" s="29"/>
      <c r="I23" s="29"/>
      <c r="J23" s="28"/>
      <c r="K23" s="28" t="s">
        <v>18</v>
      </c>
      <c r="L23" s="28">
        <v>3</v>
      </c>
      <c r="M23" s="31" t="s">
        <v>22</v>
      </c>
      <c r="N23" s="33" t="s">
        <v>573</v>
      </c>
      <c r="O23" s="31" t="s">
        <v>576</v>
      </c>
      <c r="P23" s="31"/>
      <c r="Q23" s="31" t="s">
        <v>587</v>
      </c>
      <c r="R23" s="66">
        <v>11449043</v>
      </c>
      <c r="S23" s="31" t="s">
        <v>39</v>
      </c>
      <c r="T23" s="31" t="s">
        <v>27</v>
      </c>
      <c r="U23" s="31"/>
      <c r="V23" s="31"/>
    </row>
    <row r="24" spans="1:22" s="2" customFormat="1" ht="21" hidden="1" customHeight="1" x14ac:dyDescent="0.25">
      <c r="A24" s="23">
        <v>17</v>
      </c>
      <c r="B24" s="24">
        <v>19038253</v>
      </c>
      <c r="C24" s="25" t="s">
        <v>64</v>
      </c>
      <c r="D24" s="26" t="s">
        <v>109</v>
      </c>
      <c r="E24" s="26" t="s">
        <v>110</v>
      </c>
      <c r="F24" s="27">
        <f>VLOOKUP(B24,Hoja2_2!$B$2:$G$110,6,0)</f>
        <v>41754</v>
      </c>
      <c r="G24" s="28">
        <f t="shared" ca="1" si="0"/>
        <v>12</v>
      </c>
      <c r="H24" s="29"/>
      <c r="I24" s="29"/>
      <c r="J24" s="28"/>
      <c r="K24" s="28" t="s">
        <v>17</v>
      </c>
      <c r="L24" s="28">
        <v>1</v>
      </c>
      <c r="M24" s="31" t="s">
        <v>22</v>
      </c>
      <c r="N24" s="33" t="s">
        <v>575</v>
      </c>
      <c r="O24" s="31" t="s">
        <v>576</v>
      </c>
      <c r="P24" s="31"/>
      <c r="Q24" s="31"/>
      <c r="R24" s="66"/>
      <c r="S24" s="31"/>
      <c r="T24" s="31" t="s">
        <v>27</v>
      </c>
      <c r="U24" s="31"/>
      <c r="V24" s="31"/>
    </row>
    <row r="25" spans="1:22" s="2" customFormat="1" ht="21" customHeight="1" x14ac:dyDescent="0.25">
      <c r="A25" s="23">
        <v>18</v>
      </c>
      <c r="B25" s="24">
        <v>17722878</v>
      </c>
      <c r="C25" s="25" t="s">
        <v>65</v>
      </c>
      <c r="D25" s="26" t="s">
        <v>109</v>
      </c>
      <c r="E25" s="26" t="s">
        <v>110</v>
      </c>
      <c r="F25" s="27">
        <f>VLOOKUP(B25,Hoja2_2!$B$2:$G$110,6,0)</f>
        <v>40470</v>
      </c>
      <c r="G25" s="28">
        <f t="shared" ca="1" si="0"/>
        <v>15</v>
      </c>
      <c r="H25" s="29"/>
      <c r="I25" s="29"/>
      <c r="J25" s="28"/>
      <c r="K25" s="28" t="s">
        <v>20</v>
      </c>
      <c r="L25" s="28">
        <v>4</v>
      </c>
      <c r="M25" s="31" t="s">
        <v>22</v>
      </c>
      <c r="N25" s="33" t="s">
        <v>573</v>
      </c>
      <c r="O25" s="31" t="s">
        <v>576</v>
      </c>
      <c r="P25" s="31"/>
      <c r="Q25" s="31" t="s">
        <v>588</v>
      </c>
      <c r="R25" s="66">
        <v>17713009</v>
      </c>
      <c r="S25" s="31" t="s">
        <v>40</v>
      </c>
      <c r="T25" s="31" t="s">
        <v>27</v>
      </c>
      <c r="U25" s="31"/>
      <c r="V25" s="31"/>
    </row>
    <row r="26" spans="1:22" s="2" customFormat="1" ht="21" hidden="1" customHeight="1" x14ac:dyDescent="0.25">
      <c r="A26" s="23">
        <v>19</v>
      </c>
      <c r="B26" s="24">
        <v>16722294</v>
      </c>
      <c r="C26" s="25" t="s">
        <v>66</v>
      </c>
      <c r="D26" s="26" t="s">
        <v>109</v>
      </c>
      <c r="E26" s="26" t="s">
        <v>110</v>
      </c>
      <c r="F26" s="27">
        <f>VLOOKUP(B26,Hoja2_2!$B$2:$G$110,6,0)</f>
        <v>41624</v>
      </c>
      <c r="G26" s="28">
        <f t="shared" ca="1" si="0"/>
        <v>12</v>
      </c>
      <c r="H26" s="29"/>
      <c r="I26" s="29"/>
      <c r="J26" s="28"/>
      <c r="K26" s="28" t="s">
        <v>17</v>
      </c>
      <c r="L26" s="28">
        <v>1</v>
      </c>
      <c r="M26" s="31" t="s">
        <v>22</v>
      </c>
      <c r="N26" s="33" t="s">
        <v>575</v>
      </c>
      <c r="O26" s="31" t="s">
        <v>576</v>
      </c>
      <c r="P26" s="31"/>
      <c r="Q26" s="31"/>
      <c r="R26" s="66"/>
      <c r="S26" s="31"/>
      <c r="T26" s="31" t="s">
        <v>27</v>
      </c>
      <c r="U26" s="31"/>
      <c r="V26" s="31"/>
    </row>
    <row r="27" spans="1:22" s="2" customFormat="1" ht="21" customHeight="1" x14ac:dyDescent="0.25">
      <c r="A27" s="23">
        <v>20</v>
      </c>
      <c r="B27" s="24">
        <v>14703619</v>
      </c>
      <c r="C27" s="25" t="s">
        <v>67</v>
      </c>
      <c r="D27" s="26" t="s">
        <v>109</v>
      </c>
      <c r="E27" s="26" t="s">
        <v>110</v>
      </c>
      <c r="F27" s="27">
        <f>VLOOKUP(B27,Hoja2_2!$B$2:$G$110,6,0)</f>
        <v>41008</v>
      </c>
      <c r="G27" s="28">
        <f t="shared" ca="1" si="0"/>
        <v>14</v>
      </c>
      <c r="H27" s="29"/>
      <c r="I27" s="29"/>
      <c r="J27" s="28"/>
      <c r="K27" s="28" t="s">
        <v>18</v>
      </c>
      <c r="L27" s="28">
        <v>5</v>
      </c>
      <c r="M27" s="31" t="s">
        <v>22</v>
      </c>
      <c r="N27" s="33" t="s">
        <v>573</v>
      </c>
      <c r="O27" s="31" t="s">
        <v>576</v>
      </c>
      <c r="P27" s="31"/>
      <c r="Q27" s="31" t="s">
        <v>589</v>
      </c>
      <c r="R27" s="66">
        <v>18652761</v>
      </c>
      <c r="S27" s="31" t="s">
        <v>38</v>
      </c>
      <c r="T27" s="31" t="s">
        <v>27</v>
      </c>
      <c r="U27" s="31"/>
      <c r="V27" s="31"/>
    </row>
    <row r="28" spans="1:22" s="2" customFormat="1" ht="21" customHeight="1" x14ac:dyDescent="0.25">
      <c r="A28" s="23">
        <v>21</v>
      </c>
      <c r="B28" s="24">
        <v>14859067</v>
      </c>
      <c r="C28" s="25" t="s">
        <v>68</v>
      </c>
      <c r="D28" s="26" t="s">
        <v>109</v>
      </c>
      <c r="E28" s="26" t="s">
        <v>110</v>
      </c>
      <c r="F28" s="27">
        <f>VLOOKUP(B28,Hoja2_2!$B$2:$G$110,6,0)</f>
        <v>43473</v>
      </c>
      <c r="G28" s="28">
        <f t="shared" ca="1" si="0"/>
        <v>7</v>
      </c>
      <c r="H28" s="29"/>
      <c r="I28" s="29"/>
      <c r="J28" s="28"/>
      <c r="K28" s="28" t="s">
        <v>18</v>
      </c>
      <c r="L28" s="28">
        <v>2</v>
      </c>
      <c r="M28" s="31" t="s">
        <v>22</v>
      </c>
      <c r="N28" s="33" t="s">
        <v>573</v>
      </c>
      <c r="O28" s="31" t="s">
        <v>576</v>
      </c>
      <c r="P28" s="31"/>
      <c r="Q28" s="31" t="s">
        <v>590</v>
      </c>
      <c r="R28" s="66">
        <v>16710266</v>
      </c>
      <c r="S28" s="31" t="s">
        <v>40</v>
      </c>
      <c r="T28" s="31" t="s">
        <v>27</v>
      </c>
      <c r="U28" s="31"/>
      <c r="V28" s="31"/>
    </row>
    <row r="29" spans="1:22" s="2" customFormat="1" ht="21" customHeight="1" x14ac:dyDescent="0.25">
      <c r="A29" s="23">
        <v>22</v>
      </c>
      <c r="B29" s="24">
        <v>20001991</v>
      </c>
      <c r="C29" s="25" t="s">
        <v>69</v>
      </c>
      <c r="D29" s="26" t="s">
        <v>109</v>
      </c>
      <c r="E29" s="26" t="s">
        <v>110</v>
      </c>
      <c r="F29" s="27">
        <f>VLOOKUP(B29,Hoja2_2!$B$2:$G$110,6,0)</f>
        <v>44596</v>
      </c>
      <c r="G29" s="28">
        <f t="shared" ca="1" si="0"/>
        <v>4</v>
      </c>
      <c r="H29" s="29"/>
      <c r="I29" s="29"/>
      <c r="J29" s="28"/>
      <c r="K29" s="28" t="s">
        <v>17</v>
      </c>
      <c r="L29" s="28">
        <v>2</v>
      </c>
      <c r="M29" s="31" t="s">
        <v>22</v>
      </c>
      <c r="N29" s="33" t="s">
        <v>573</v>
      </c>
      <c r="O29" s="31" t="s">
        <v>576</v>
      </c>
      <c r="P29" s="31"/>
      <c r="Q29" s="31" t="s">
        <v>612</v>
      </c>
      <c r="R29" s="66">
        <v>20002235</v>
      </c>
      <c r="S29" s="31" t="s">
        <v>40</v>
      </c>
      <c r="T29" s="31" t="s">
        <v>7</v>
      </c>
      <c r="U29" s="31"/>
      <c r="V29" s="31"/>
    </row>
    <row r="30" spans="1:22" s="2" customFormat="1" ht="21" customHeight="1" x14ac:dyDescent="0.25">
      <c r="A30" s="23">
        <v>23</v>
      </c>
      <c r="B30" s="24">
        <v>19875121</v>
      </c>
      <c r="C30" s="25" t="s">
        <v>70</v>
      </c>
      <c r="D30" s="26" t="s">
        <v>109</v>
      </c>
      <c r="E30" s="26" t="s">
        <v>110</v>
      </c>
      <c r="F30" s="27">
        <f>VLOOKUP(B30,Hoja2_2!$B$2:$G$110,6,0)</f>
        <v>41754</v>
      </c>
      <c r="G30" s="28">
        <f t="shared" ca="1" si="0"/>
        <v>12</v>
      </c>
      <c r="H30" s="29"/>
      <c r="I30" s="29"/>
      <c r="J30" s="28"/>
      <c r="K30" s="28" t="s">
        <v>20</v>
      </c>
      <c r="L30" s="28">
        <v>2</v>
      </c>
      <c r="M30" s="31" t="s">
        <v>22</v>
      </c>
      <c r="N30" s="33" t="s">
        <v>573</v>
      </c>
      <c r="O30" s="31" t="s">
        <v>576</v>
      </c>
      <c r="P30" s="31"/>
      <c r="Q30" s="31" t="s">
        <v>610</v>
      </c>
      <c r="R30" s="66">
        <v>17782202</v>
      </c>
      <c r="S30" s="31" t="s">
        <v>38</v>
      </c>
      <c r="T30" s="31" t="s">
        <v>27</v>
      </c>
      <c r="U30" s="31"/>
      <c r="V30" s="31"/>
    </row>
    <row r="31" spans="1:22" s="2" customFormat="1" ht="21" customHeight="1" x14ac:dyDescent="0.25">
      <c r="A31" s="23">
        <v>24</v>
      </c>
      <c r="B31" s="24">
        <v>13092755</v>
      </c>
      <c r="C31" s="25" t="s">
        <v>71</v>
      </c>
      <c r="D31" s="26" t="s">
        <v>109</v>
      </c>
      <c r="E31" s="26" t="s">
        <v>110</v>
      </c>
      <c r="F31" s="27">
        <f>VLOOKUP(B31,Hoja2_2!$B$2:$G$110,6,0)</f>
        <v>38302</v>
      </c>
      <c r="G31" s="28">
        <f t="shared" ca="1" si="0"/>
        <v>21</v>
      </c>
      <c r="H31" s="29"/>
      <c r="I31" s="29"/>
      <c r="J31" s="28"/>
      <c r="K31" s="28" t="s">
        <v>19</v>
      </c>
      <c r="L31" s="28">
        <v>2</v>
      </c>
      <c r="M31" s="31" t="s">
        <v>22</v>
      </c>
      <c r="N31" s="33" t="s">
        <v>573</v>
      </c>
      <c r="O31" s="31" t="s">
        <v>576</v>
      </c>
      <c r="P31" s="31"/>
      <c r="Q31" s="31"/>
      <c r="R31" s="66"/>
      <c r="S31" s="31"/>
      <c r="T31" s="31" t="s">
        <v>7</v>
      </c>
      <c r="U31" s="31"/>
      <c r="V31" s="31"/>
    </row>
    <row r="32" spans="1:22" s="2" customFormat="1" ht="21" hidden="1" customHeight="1" x14ac:dyDescent="0.25">
      <c r="A32" s="23">
        <v>25</v>
      </c>
      <c r="B32" s="24">
        <v>13656273</v>
      </c>
      <c r="C32" s="25" t="s">
        <v>72</v>
      </c>
      <c r="D32" s="26" t="s">
        <v>109</v>
      </c>
      <c r="E32" s="26" t="s">
        <v>110</v>
      </c>
      <c r="F32" s="27">
        <f>VLOOKUP(B32,Hoja2_2!$B$2:$G$110,6,0)</f>
        <v>39461</v>
      </c>
      <c r="G32" s="28">
        <f t="shared" ca="1" si="0"/>
        <v>18</v>
      </c>
      <c r="H32" s="29"/>
      <c r="I32" s="29"/>
      <c r="J32" s="28"/>
      <c r="K32" s="28" t="s">
        <v>17</v>
      </c>
      <c r="L32" s="28">
        <v>4</v>
      </c>
      <c r="M32" s="31" t="s">
        <v>22</v>
      </c>
      <c r="N32" s="33" t="s">
        <v>575</v>
      </c>
      <c r="O32" s="31" t="s">
        <v>576</v>
      </c>
      <c r="P32" s="31"/>
      <c r="Q32" s="31" t="s">
        <v>591</v>
      </c>
      <c r="R32" s="66">
        <v>9899154</v>
      </c>
      <c r="S32" s="31" t="s">
        <v>38</v>
      </c>
      <c r="T32" s="31" t="s">
        <v>27</v>
      </c>
      <c r="U32" s="31"/>
      <c r="V32" s="31"/>
    </row>
    <row r="33" spans="1:22" s="2" customFormat="1" ht="21" customHeight="1" x14ac:dyDescent="0.25">
      <c r="A33" s="23">
        <v>26</v>
      </c>
      <c r="B33" s="24">
        <v>17483709</v>
      </c>
      <c r="C33" s="25" t="s">
        <v>73</v>
      </c>
      <c r="D33" s="26" t="s">
        <v>109</v>
      </c>
      <c r="E33" s="26" t="s">
        <v>110</v>
      </c>
      <c r="F33" s="27">
        <f>VLOOKUP(B33,Hoja2_2!$B$2:$G$110,6,0)</f>
        <v>41222</v>
      </c>
      <c r="G33" s="28">
        <f t="shared" ca="1" si="0"/>
        <v>13</v>
      </c>
      <c r="H33" s="29"/>
      <c r="I33" s="29"/>
      <c r="J33" s="28"/>
      <c r="K33" s="28" t="s">
        <v>19</v>
      </c>
      <c r="L33" s="28">
        <v>3</v>
      </c>
      <c r="M33" s="31" t="s">
        <v>22</v>
      </c>
      <c r="N33" s="33" t="s">
        <v>573</v>
      </c>
      <c r="O33" s="31" t="s">
        <v>576</v>
      </c>
      <c r="P33" s="31"/>
      <c r="Q33" s="31" t="s">
        <v>608</v>
      </c>
      <c r="R33" s="66">
        <v>17780095</v>
      </c>
      <c r="S33" s="31" t="s">
        <v>38</v>
      </c>
      <c r="T33" s="31" t="s">
        <v>15</v>
      </c>
      <c r="U33" s="31"/>
      <c r="V33" s="31"/>
    </row>
    <row r="34" spans="1:22" s="2" customFormat="1" ht="21" customHeight="1" x14ac:dyDescent="0.25">
      <c r="A34" s="23">
        <v>27</v>
      </c>
      <c r="B34" s="24">
        <v>19079457</v>
      </c>
      <c r="C34" s="25" t="s">
        <v>74</v>
      </c>
      <c r="D34" s="26" t="s">
        <v>109</v>
      </c>
      <c r="E34" s="26" t="s">
        <v>110</v>
      </c>
      <c r="F34" s="27">
        <f>VLOOKUP(B34,Hoja2_2!$B$2:$G$110,6,0)</f>
        <v>43473</v>
      </c>
      <c r="G34" s="28">
        <f t="shared" ca="1" si="0"/>
        <v>7</v>
      </c>
      <c r="H34" s="29"/>
      <c r="I34" s="29"/>
      <c r="J34" s="28"/>
      <c r="K34" s="28" t="s">
        <v>17</v>
      </c>
      <c r="L34" s="28">
        <v>3</v>
      </c>
      <c r="M34" s="31" t="s">
        <v>22</v>
      </c>
      <c r="N34" s="33" t="s">
        <v>573</v>
      </c>
      <c r="O34" s="31" t="s">
        <v>576</v>
      </c>
      <c r="P34" s="31"/>
      <c r="Q34" s="31"/>
      <c r="R34" s="66"/>
      <c r="S34" s="31"/>
      <c r="T34" s="31" t="s">
        <v>12</v>
      </c>
      <c r="U34" s="31"/>
      <c r="V34" s="31"/>
    </row>
    <row r="35" spans="1:22" s="2" customFormat="1" ht="21" customHeight="1" x14ac:dyDescent="0.25">
      <c r="A35" s="23">
        <v>28</v>
      </c>
      <c r="B35" s="24">
        <v>17723779</v>
      </c>
      <c r="C35" s="25" t="s">
        <v>75</v>
      </c>
      <c r="D35" s="26" t="s">
        <v>109</v>
      </c>
      <c r="E35" s="26" t="s">
        <v>110</v>
      </c>
      <c r="F35" s="27">
        <f>VLOOKUP(B35,Hoja2_2!$B$2:$G$110,6,0)</f>
        <v>43473</v>
      </c>
      <c r="G35" s="28">
        <f t="shared" ca="1" si="0"/>
        <v>7</v>
      </c>
      <c r="H35" s="29"/>
      <c r="I35" s="29"/>
      <c r="J35" s="28"/>
      <c r="K35" s="28" t="s">
        <v>17</v>
      </c>
      <c r="L35" s="28">
        <v>3</v>
      </c>
      <c r="M35" s="31" t="s">
        <v>22</v>
      </c>
      <c r="N35" s="33" t="s">
        <v>573</v>
      </c>
      <c r="O35" s="31" t="s">
        <v>576</v>
      </c>
      <c r="P35" s="31"/>
      <c r="Q35" s="31" t="s">
        <v>592</v>
      </c>
      <c r="R35" s="66">
        <v>16691883</v>
      </c>
      <c r="S35" s="31" t="s">
        <v>40</v>
      </c>
      <c r="T35" s="31" t="s">
        <v>15</v>
      </c>
      <c r="U35" s="31"/>
      <c r="V35" s="31"/>
    </row>
    <row r="36" spans="1:22" s="2" customFormat="1" ht="21" customHeight="1" x14ac:dyDescent="0.25">
      <c r="A36" s="23">
        <v>29</v>
      </c>
      <c r="B36" s="24">
        <v>17463095</v>
      </c>
      <c r="C36" s="25" t="s">
        <v>76</v>
      </c>
      <c r="D36" s="26" t="s">
        <v>109</v>
      </c>
      <c r="E36" s="26" t="s">
        <v>110</v>
      </c>
      <c r="F36" s="27">
        <f>VLOOKUP(B36,Hoja2_2!$B$2:$G$110,6,0)</f>
        <v>43473</v>
      </c>
      <c r="G36" s="28">
        <f t="shared" ca="1" si="0"/>
        <v>7</v>
      </c>
      <c r="H36" s="29"/>
      <c r="I36" s="29"/>
      <c r="J36" s="28"/>
      <c r="K36" s="28" t="s">
        <v>17</v>
      </c>
      <c r="L36" s="28">
        <v>1</v>
      </c>
      <c r="M36" s="31" t="s">
        <v>22</v>
      </c>
      <c r="N36" s="33" t="s">
        <v>573</v>
      </c>
      <c r="O36" s="31" t="s">
        <v>576</v>
      </c>
      <c r="P36" s="31"/>
      <c r="Q36" s="31" t="s">
        <v>593</v>
      </c>
      <c r="R36" s="66">
        <v>16926442</v>
      </c>
      <c r="S36" s="31" t="s">
        <v>38</v>
      </c>
      <c r="T36" s="31" t="s">
        <v>15</v>
      </c>
      <c r="U36" s="31"/>
      <c r="V36" s="31"/>
    </row>
    <row r="37" spans="1:22" s="2" customFormat="1" ht="21" customHeight="1" x14ac:dyDescent="0.25">
      <c r="A37" s="23">
        <v>30</v>
      </c>
      <c r="B37" s="24">
        <v>17241569</v>
      </c>
      <c r="C37" s="25" t="s">
        <v>77</v>
      </c>
      <c r="D37" s="26" t="s">
        <v>109</v>
      </c>
      <c r="E37" s="26" t="s">
        <v>110</v>
      </c>
      <c r="F37" s="27">
        <f>VLOOKUP(B37,Hoja2_2!$B$2:$G$110,6,0)</f>
        <v>41754</v>
      </c>
      <c r="G37" s="28">
        <f t="shared" ca="1" si="0"/>
        <v>12</v>
      </c>
      <c r="H37" s="29"/>
      <c r="I37" s="29"/>
      <c r="J37" s="28"/>
      <c r="K37" s="28" t="s">
        <v>20</v>
      </c>
      <c r="L37" s="28">
        <v>3</v>
      </c>
      <c r="M37" s="31" t="s">
        <v>22</v>
      </c>
      <c r="N37" s="33" t="s">
        <v>573</v>
      </c>
      <c r="O37" s="31" t="s">
        <v>576</v>
      </c>
      <c r="P37" s="31"/>
      <c r="Q37" s="31" t="s">
        <v>594</v>
      </c>
      <c r="R37" s="66">
        <v>16710908</v>
      </c>
      <c r="S37" s="31" t="s">
        <v>40</v>
      </c>
      <c r="T37" s="31" t="s">
        <v>27</v>
      </c>
      <c r="U37" s="31"/>
      <c r="V37" s="31"/>
    </row>
    <row r="38" spans="1:22" s="2" customFormat="1" ht="21" customHeight="1" x14ac:dyDescent="0.25">
      <c r="A38" s="23">
        <v>31</v>
      </c>
      <c r="B38" s="24">
        <v>14531830</v>
      </c>
      <c r="C38" s="25" t="s">
        <v>78</v>
      </c>
      <c r="D38" s="26" t="s">
        <v>109</v>
      </c>
      <c r="E38" s="26" t="s">
        <v>110</v>
      </c>
      <c r="F38" s="27">
        <f>VLOOKUP(B38,Hoja2_2!$B$2:$G$110,6,0)</f>
        <v>43108</v>
      </c>
      <c r="G38" s="28">
        <f t="shared" ca="1" si="0"/>
        <v>8</v>
      </c>
      <c r="H38" s="29"/>
      <c r="I38" s="29"/>
      <c r="J38" s="28"/>
      <c r="K38" s="28" t="s">
        <v>17</v>
      </c>
      <c r="L38" s="28">
        <v>2</v>
      </c>
      <c r="M38" s="31" t="s">
        <v>22</v>
      </c>
      <c r="N38" s="33" t="s">
        <v>573</v>
      </c>
      <c r="O38" s="31" t="s">
        <v>576</v>
      </c>
      <c r="P38" s="31"/>
      <c r="Q38" s="31" t="s">
        <v>613</v>
      </c>
      <c r="R38" s="66">
        <v>13544171</v>
      </c>
      <c r="S38" s="31" t="s">
        <v>38</v>
      </c>
      <c r="T38" s="31" t="s">
        <v>27</v>
      </c>
      <c r="U38" s="31"/>
      <c r="V38" s="31"/>
    </row>
    <row r="39" spans="1:22" s="2" customFormat="1" ht="21" hidden="1" customHeight="1" x14ac:dyDescent="0.25">
      <c r="A39" s="23">
        <v>32</v>
      </c>
      <c r="B39" s="24">
        <v>12067865</v>
      </c>
      <c r="C39" s="25" t="s">
        <v>79</v>
      </c>
      <c r="D39" s="26" t="s">
        <v>109</v>
      </c>
      <c r="E39" s="26" t="s">
        <v>110</v>
      </c>
      <c r="F39" s="27">
        <f>VLOOKUP(B39,Hoja2_2!$B$2:$G$110,6,0)</f>
        <v>41628</v>
      </c>
      <c r="G39" s="28">
        <f t="shared" ca="1" si="0"/>
        <v>12</v>
      </c>
      <c r="H39" s="29"/>
      <c r="I39" s="29"/>
      <c r="J39" s="28"/>
      <c r="K39" s="28" t="s">
        <v>17</v>
      </c>
      <c r="L39" s="28">
        <v>2</v>
      </c>
      <c r="M39" s="31" t="s">
        <v>22</v>
      </c>
      <c r="N39" s="33" t="s">
        <v>575</v>
      </c>
      <c r="O39" s="31" t="s">
        <v>576</v>
      </c>
      <c r="P39" s="31"/>
      <c r="Q39" s="31"/>
      <c r="R39" s="66"/>
      <c r="S39" s="31"/>
      <c r="T39" s="31" t="s">
        <v>27</v>
      </c>
      <c r="U39" s="31"/>
      <c r="V39" s="31"/>
    </row>
    <row r="40" spans="1:22" s="2" customFormat="1" ht="21" hidden="1" customHeight="1" x14ac:dyDescent="0.25">
      <c r="A40" s="23">
        <v>33</v>
      </c>
      <c r="B40" s="24">
        <v>11830987</v>
      </c>
      <c r="C40" s="25" t="s">
        <v>80</v>
      </c>
      <c r="D40" s="26" t="s">
        <v>109</v>
      </c>
      <c r="E40" s="26" t="s">
        <v>110</v>
      </c>
      <c r="F40" s="27">
        <f>VLOOKUP(B40,Hoja2_2!$B$2:$G$110,6,0)</f>
        <v>37151</v>
      </c>
      <c r="G40" s="28">
        <f t="shared" ca="1" si="0"/>
        <v>24</v>
      </c>
      <c r="H40" s="29"/>
      <c r="I40" s="29"/>
      <c r="J40" s="28"/>
      <c r="K40" s="28" t="s">
        <v>20</v>
      </c>
      <c r="L40" s="28">
        <v>3</v>
      </c>
      <c r="M40" s="31" t="s">
        <v>22</v>
      </c>
      <c r="N40" s="33" t="s">
        <v>574</v>
      </c>
      <c r="O40" s="31" t="s">
        <v>576</v>
      </c>
      <c r="P40" s="31"/>
      <c r="Q40" s="31" t="s">
        <v>595</v>
      </c>
      <c r="R40" s="66">
        <v>13452820</v>
      </c>
      <c r="S40" s="31" t="s">
        <v>40</v>
      </c>
      <c r="T40" s="31" t="s">
        <v>27</v>
      </c>
      <c r="U40" s="31"/>
      <c r="V40" s="31"/>
    </row>
    <row r="41" spans="1:22" s="2" customFormat="1" ht="21" hidden="1" customHeight="1" x14ac:dyDescent="0.25">
      <c r="A41" s="23">
        <v>34</v>
      </c>
      <c r="B41" s="24">
        <v>16174810</v>
      </c>
      <c r="C41" s="25" t="s">
        <v>81</v>
      </c>
      <c r="D41" s="26" t="s">
        <v>109</v>
      </c>
      <c r="E41" s="26" t="s">
        <v>110</v>
      </c>
      <c r="F41" s="27">
        <f>VLOOKUP(B41,Hoja2_2!$B$2:$G$110,6,0)</f>
        <v>43837</v>
      </c>
      <c r="G41" s="28">
        <f t="shared" ca="1" si="0"/>
        <v>6</v>
      </c>
      <c r="H41" s="29"/>
      <c r="I41" s="29"/>
      <c r="J41" s="28"/>
      <c r="K41" s="28" t="s">
        <v>17</v>
      </c>
      <c r="L41" s="28">
        <v>2</v>
      </c>
      <c r="M41" s="31" t="s">
        <v>22</v>
      </c>
      <c r="N41" s="33" t="s">
        <v>575</v>
      </c>
      <c r="O41" s="31" t="s">
        <v>576</v>
      </c>
      <c r="P41" s="31"/>
      <c r="Q41" s="31"/>
      <c r="R41" s="66"/>
      <c r="S41" s="31"/>
      <c r="T41" s="31" t="s">
        <v>27</v>
      </c>
      <c r="U41" s="31"/>
      <c r="V41" s="31"/>
    </row>
    <row r="42" spans="1:22" s="2" customFormat="1" ht="21" customHeight="1" x14ac:dyDescent="0.25">
      <c r="A42" s="23">
        <v>35</v>
      </c>
      <c r="B42" s="24">
        <v>19080636</v>
      </c>
      <c r="C42" s="25" t="s">
        <v>82</v>
      </c>
      <c r="D42" s="26" t="s">
        <v>109</v>
      </c>
      <c r="E42" s="26" t="s">
        <v>110</v>
      </c>
      <c r="F42" s="27">
        <f>VLOOKUP(B42,Hoja2_2!$B$2:$G$110,6,0)</f>
        <v>41753</v>
      </c>
      <c r="G42" s="28">
        <f t="shared" ca="1" si="0"/>
        <v>12</v>
      </c>
      <c r="H42" s="29"/>
      <c r="I42" s="29"/>
      <c r="J42" s="28"/>
      <c r="K42" s="28" t="s">
        <v>17</v>
      </c>
      <c r="L42" s="28">
        <v>1</v>
      </c>
      <c r="M42" s="31" t="s">
        <v>22</v>
      </c>
      <c r="N42" s="33" t="s">
        <v>573</v>
      </c>
      <c r="O42" s="31" t="s">
        <v>576</v>
      </c>
      <c r="P42" s="31"/>
      <c r="Q42" s="31"/>
      <c r="R42" s="66"/>
      <c r="S42" s="31"/>
      <c r="T42" s="31" t="s">
        <v>8</v>
      </c>
      <c r="U42" s="31"/>
      <c r="V42" s="31"/>
    </row>
    <row r="43" spans="1:22" s="2" customFormat="1" ht="21" customHeight="1" x14ac:dyDescent="0.25">
      <c r="A43" s="23">
        <v>36</v>
      </c>
      <c r="B43" s="24">
        <v>19603449</v>
      </c>
      <c r="C43" s="25" t="s">
        <v>83</v>
      </c>
      <c r="D43" s="26" t="s">
        <v>109</v>
      </c>
      <c r="E43" s="26" t="s">
        <v>110</v>
      </c>
      <c r="F43" s="27">
        <f>VLOOKUP(B43,Hoja2_2!$B$2:$G$110,6,0)</f>
        <v>43473</v>
      </c>
      <c r="G43" s="28">
        <f t="shared" ca="1" si="0"/>
        <v>7</v>
      </c>
      <c r="H43" s="29"/>
      <c r="I43" s="29"/>
      <c r="J43" s="28"/>
      <c r="K43" s="28" t="s">
        <v>17</v>
      </c>
      <c r="L43" s="28">
        <v>3</v>
      </c>
      <c r="M43" s="31" t="s">
        <v>22</v>
      </c>
      <c r="N43" s="33" t="s">
        <v>573</v>
      </c>
      <c r="O43" s="31" t="s">
        <v>576</v>
      </c>
      <c r="P43" s="31"/>
      <c r="Q43" s="31" t="s">
        <v>614</v>
      </c>
      <c r="R43" s="66">
        <v>14111509</v>
      </c>
      <c r="S43" s="31" t="s">
        <v>40</v>
      </c>
      <c r="T43" s="31" t="s">
        <v>7</v>
      </c>
      <c r="U43" s="31"/>
      <c r="V43" s="31"/>
    </row>
    <row r="44" spans="1:22" s="2" customFormat="1" ht="21" customHeight="1" x14ac:dyDescent="0.25">
      <c r="A44" s="23">
        <v>37</v>
      </c>
      <c r="B44" s="24">
        <v>13814605</v>
      </c>
      <c r="C44" s="25" t="s">
        <v>84</v>
      </c>
      <c r="D44" s="26" t="s">
        <v>109</v>
      </c>
      <c r="E44" s="26" t="s">
        <v>110</v>
      </c>
      <c r="F44" s="27">
        <f>VLOOKUP(B44,Hoja2_2!$B$2:$G$110,6,0)</f>
        <v>39993</v>
      </c>
      <c r="G44" s="28">
        <f t="shared" ca="1" si="0"/>
        <v>16</v>
      </c>
      <c r="H44" s="29"/>
      <c r="I44" s="29"/>
      <c r="J44" s="28"/>
      <c r="K44" s="28" t="s">
        <v>20</v>
      </c>
      <c r="L44" s="28">
        <v>2</v>
      </c>
      <c r="M44" s="31" t="s">
        <v>22</v>
      </c>
      <c r="N44" s="33" t="s">
        <v>573</v>
      </c>
      <c r="O44" s="31" t="s">
        <v>576</v>
      </c>
      <c r="P44" s="31"/>
      <c r="Q44" s="31"/>
      <c r="R44" s="66"/>
      <c r="S44" s="31"/>
      <c r="T44" s="31" t="s">
        <v>27</v>
      </c>
      <c r="U44" s="31"/>
      <c r="V44" s="31"/>
    </row>
    <row r="45" spans="1:22" s="2" customFormat="1" ht="21" customHeight="1" x14ac:dyDescent="0.25">
      <c r="A45" s="23">
        <v>38</v>
      </c>
      <c r="B45" s="24">
        <v>18274289</v>
      </c>
      <c r="C45" s="25" t="s">
        <v>85</v>
      </c>
      <c r="D45" s="26" t="s">
        <v>109</v>
      </c>
      <c r="E45" s="26" t="s">
        <v>110</v>
      </c>
      <c r="F45" s="27">
        <f>VLOOKUP(B45,Hoja2_2!$B$2:$G$110,6,0)</f>
        <v>43473</v>
      </c>
      <c r="G45" s="28">
        <f t="shared" ca="1" si="0"/>
        <v>7</v>
      </c>
      <c r="H45" s="29"/>
      <c r="I45" s="29"/>
      <c r="J45" s="28"/>
      <c r="K45" s="28" t="s">
        <v>17</v>
      </c>
      <c r="L45" s="28">
        <v>4</v>
      </c>
      <c r="M45" s="31" t="s">
        <v>22</v>
      </c>
      <c r="N45" s="33" t="s">
        <v>573</v>
      </c>
      <c r="O45" s="31" t="s">
        <v>576</v>
      </c>
      <c r="P45" s="31"/>
      <c r="Q45" s="31" t="s">
        <v>616</v>
      </c>
      <c r="R45" s="66">
        <v>18983095</v>
      </c>
      <c r="S45" s="31" t="s">
        <v>40</v>
      </c>
      <c r="T45" s="31" t="s">
        <v>15</v>
      </c>
      <c r="U45" s="31"/>
      <c r="V45" s="31"/>
    </row>
    <row r="46" spans="1:22" s="2" customFormat="1" ht="21" customHeight="1" x14ac:dyDescent="0.25">
      <c r="A46" s="23">
        <v>39</v>
      </c>
      <c r="B46" s="24">
        <v>16807474</v>
      </c>
      <c r="C46" s="25" t="s">
        <v>86</v>
      </c>
      <c r="D46" s="26" t="s">
        <v>109</v>
      </c>
      <c r="E46" s="26" t="s">
        <v>110</v>
      </c>
      <c r="F46" s="27">
        <f>VLOOKUP(B46,Hoja2_2!$B$2:$G$110,6,0)</f>
        <v>39904</v>
      </c>
      <c r="G46" s="28">
        <f t="shared" ca="1" si="0"/>
        <v>17</v>
      </c>
      <c r="H46" s="29"/>
      <c r="I46" s="29"/>
      <c r="J46" s="28"/>
      <c r="K46" s="28" t="s">
        <v>20</v>
      </c>
      <c r="L46" s="28">
        <v>2</v>
      </c>
      <c r="M46" s="31" t="s">
        <v>22</v>
      </c>
      <c r="N46" s="33" t="s">
        <v>573</v>
      </c>
      <c r="O46" s="31" t="s">
        <v>576</v>
      </c>
      <c r="P46" s="31"/>
      <c r="Q46" s="31" t="s">
        <v>596</v>
      </c>
      <c r="R46" s="66">
        <v>17935775</v>
      </c>
      <c r="S46" s="31" t="s">
        <v>40</v>
      </c>
      <c r="T46" s="31" t="s">
        <v>27</v>
      </c>
      <c r="U46" s="31"/>
      <c r="V46" s="31"/>
    </row>
    <row r="47" spans="1:22" s="2" customFormat="1" ht="21" customHeight="1" x14ac:dyDescent="0.25">
      <c r="A47" s="23">
        <v>40</v>
      </c>
      <c r="B47" s="24">
        <v>19415615</v>
      </c>
      <c r="C47" s="25" t="s">
        <v>87</v>
      </c>
      <c r="D47" s="26" t="s">
        <v>109</v>
      </c>
      <c r="E47" s="26" t="s">
        <v>110</v>
      </c>
      <c r="F47" s="27">
        <f>VLOOKUP(B47,Hoja2_2!$B$2:$G$110,6,0)</f>
        <v>43473</v>
      </c>
      <c r="G47" s="28">
        <f t="shared" ca="1" si="0"/>
        <v>7</v>
      </c>
      <c r="H47" s="29"/>
      <c r="I47" s="29"/>
      <c r="J47" s="28"/>
      <c r="K47" s="28" t="s">
        <v>17</v>
      </c>
      <c r="L47" s="28">
        <v>2</v>
      </c>
      <c r="M47" s="31" t="s">
        <v>22</v>
      </c>
      <c r="N47" s="33" t="s">
        <v>573</v>
      </c>
      <c r="O47" s="31" t="s">
        <v>576</v>
      </c>
      <c r="P47" s="31"/>
      <c r="Q47" s="31" t="s">
        <v>597</v>
      </c>
      <c r="R47" s="66">
        <v>16938242</v>
      </c>
      <c r="S47" s="31" t="s">
        <v>40</v>
      </c>
      <c r="T47" s="31" t="s">
        <v>12</v>
      </c>
      <c r="U47" s="31"/>
      <c r="V47" s="31"/>
    </row>
    <row r="48" spans="1:22" s="2" customFormat="1" ht="21" customHeight="1" x14ac:dyDescent="0.25">
      <c r="A48" s="23">
        <v>41</v>
      </c>
      <c r="B48" s="24">
        <v>18463516</v>
      </c>
      <c r="C48" s="25" t="s">
        <v>88</v>
      </c>
      <c r="D48" s="26" t="s">
        <v>109</v>
      </c>
      <c r="E48" s="26" t="s">
        <v>110</v>
      </c>
      <c r="F48" s="27">
        <f>VLOOKUP(B48,Hoja2_2!$B$2:$G$110,6,0)</f>
        <v>44214</v>
      </c>
      <c r="G48" s="28">
        <f t="shared" ca="1" si="0"/>
        <v>5</v>
      </c>
      <c r="H48" s="29"/>
      <c r="I48" s="29"/>
      <c r="J48" s="28"/>
      <c r="K48" s="28" t="s">
        <v>18</v>
      </c>
      <c r="L48" s="28">
        <v>4</v>
      </c>
      <c r="M48" s="31" t="s">
        <v>22</v>
      </c>
      <c r="N48" s="33" t="s">
        <v>573</v>
      </c>
      <c r="O48" s="31" t="s">
        <v>576</v>
      </c>
      <c r="P48" s="31"/>
      <c r="Q48" s="31" t="s">
        <v>598</v>
      </c>
      <c r="R48" s="66">
        <v>14543609</v>
      </c>
      <c r="S48" s="31" t="s">
        <v>38</v>
      </c>
      <c r="T48" s="31" t="s">
        <v>27</v>
      </c>
      <c r="U48" s="31"/>
      <c r="V48" s="31"/>
    </row>
    <row r="49" spans="1:22" s="2" customFormat="1" ht="21" hidden="1" customHeight="1" x14ac:dyDescent="0.25">
      <c r="A49" s="23">
        <v>42</v>
      </c>
      <c r="B49" s="24">
        <v>15044802</v>
      </c>
      <c r="C49" s="25" t="s">
        <v>89</v>
      </c>
      <c r="D49" s="26" t="s">
        <v>109</v>
      </c>
      <c r="E49" s="26" t="s">
        <v>110</v>
      </c>
      <c r="F49" s="27">
        <f>VLOOKUP(B49,Hoja2_2!$B$2:$G$110,6,0)</f>
        <v>43473</v>
      </c>
      <c r="G49" s="28">
        <f t="shared" ca="1" si="0"/>
        <v>7</v>
      </c>
      <c r="H49" s="29"/>
      <c r="I49" s="29"/>
      <c r="J49" s="28"/>
      <c r="K49" s="28" t="s">
        <v>17</v>
      </c>
      <c r="L49" s="28">
        <v>2</v>
      </c>
      <c r="M49" s="31" t="s">
        <v>22</v>
      </c>
      <c r="N49" s="33" t="s">
        <v>575</v>
      </c>
      <c r="O49" s="31" t="s">
        <v>576</v>
      </c>
      <c r="P49" s="31"/>
      <c r="Q49" s="31"/>
      <c r="R49" s="66"/>
      <c r="S49" s="31"/>
      <c r="T49" s="31" t="s">
        <v>27</v>
      </c>
      <c r="U49" s="31"/>
      <c r="V49" s="31"/>
    </row>
    <row r="50" spans="1:22" s="2" customFormat="1" ht="21" customHeight="1" x14ac:dyDescent="0.25">
      <c r="A50" s="23">
        <v>43</v>
      </c>
      <c r="B50" s="24">
        <v>17090701</v>
      </c>
      <c r="C50" s="25" t="s">
        <v>90</v>
      </c>
      <c r="D50" s="26" t="s">
        <v>109</v>
      </c>
      <c r="E50" s="26" t="s">
        <v>110</v>
      </c>
      <c r="F50" s="27">
        <f>VLOOKUP(B50,Hoja2_2!$B$2:$G$110,6,0)</f>
        <v>39925</v>
      </c>
      <c r="G50" s="28">
        <f t="shared" ca="1" si="0"/>
        <v>17</v>
      </c>
      <c r="H50" s="29"/>
      <c r="I50" s="29"/>
      <c r="J50" s="28"/>
      <c r="K50" s="28" t="s">
        <v>20</v>
      </c>
      <c r="L50" s="28">
        <v>3</v>
      </c>
      <c r="M50" s="31" t="s">
        <v>22</v>
      </c>
      <c r="N50" s="33" t="s">
        <v>573</v>
      </c>
      <c r="O50" s="31" t="s">
        <v>576</v>
      </c>
      <c r="P50" s="31"/>
      <c r="Q50" s="31" t="s">
        <v>615</v>
      </c>
      <c r="R50" s="66">
        <v>14858541</v>
      </c>
      <c r="S50" s="31" t="s">
        <v>38</v>
      </c>
      <c r="T50" s="31" t="s">
        <v>27</v>
      </c>
      <c r="U50" s="31"/>
      <c r="V50" s="31"/>
    </row>
    <row r="51" spans="1:22" s="2" customFormat="1" ht="21" hidden="1" customHeight="1" x14ac:dyDescent="0.25">
      <c r="A51" s="23">
        <v>44</v>
      </c>
      <c r="B51" s="24">
        <v>17933097</v>
      </c>
      <c r="C51" s="25" t="s">
        <v>91</v>
      </c>
      <c r="D51" s="26" t="s">
        <v>109</v>
      </c>
      <c r="E51" s="26" t="s">
        <v>110</v>
      </c>
      <c r="F51" s="27">
        <f>VLOOKUP(B51,Hoja2_2!$B$2:$G$110,6,0)</f>
        <v>43473</v>
      </c>
      <c r="G51" s="28">
        <f t="shared" ca="1" si="0"/>
        <v>7</v>
      </c>
      <c r="H51" s="29"/>
      <c r="I51" s="29"/>
      <c r="J51" s="28"/>
      <c r="K51" s="28" t="s">
        <v>17</v>
      </c>
      <c r="L51" s="28">
        <v>2</v>
      </c>
      <c r="M51" s="31" t="s">
        <v>22</v>
      </c>
      <c r="N51" s="33" t="s">
        <v>575</v>
      </c>
      <c r="O51" s="31" t="s">
        <v>576</v>
      </c>
      <c r="P51" s="31"/>
      <c r="Q51" s="31"/>
      <c r="R51" s="66"/>
      <c r="S51" s="31"/>
      <c r="T51" s="31" t="s">
        <v>27</v>
      </c>
      <c r="U51" s="31"/>
      <c r="V51" s="31"/>
    </row>
    <row r="52" spans="1:22" s="2" customFormat="1" ht="21" hidden="1" customHeight="1" x14ac:dyDescent="0.25">
      <c r="A52" s="23">
        <v>45</v>
      </c>
      <c r="B52" s="24">
        <v>19079220</v>
      </c>
      <c r="C52" s="25" t="s">
        <v>92</v>
      </c>
      <c r="D52" s="26" t="s">
        <v>109</v>
      </c>
      <c r="E52" s="26" t="s">
        <v>110</v>
      </c>
      <c r="F52" s="27">
        <f>VLOOKUP(B52,Hoja2_2!$B$2:$G$110,6,0)</f>
        <v>43707</v>
      </c>
      <c r="G52" s="28">
        <f t="shared" ca="1" si="0"/>
        <v>6</v>
      </c>
      <c r="H52" s="29"/>
      <c r="I52" s="29"/>
      <c r="J52" s="28"/>
      <c r="K52" s="28" t="s">
        <v>17</v>
      </c>
      <c r="L52" s="28">
        <v>2</v>
      </c>
      <c r="M52" s="31" t="s">
        <v>22</v>
      </c>
      <c r="N52" s="33" t="s">
        <v>575</v>
      </c>
      <c r="O52" s="31" t="s">
        <v>576</v>
      </c>
      <c r="P52" s="31"/>
      <c r="Q52" s="31"/>
      <c r="R52" s="66"/>
      <c r="S52" s="31"/>
      <c r="T52" s="31" t="s">
        <v>27</v>
      </c>
      <c r="U52" s="31"/>
      <c r="V52" s="31"/>
    </row>
    <row r="53" spans="1:22" s="2" customFormat="1" ht="21" customHeight="1" x14ac:dyDescent="0.25">
      <c r="A53" s="23">
        <v>46</v>
      </c>
      <c r="B53" s="24">
        <v>15631248</v>
      </c>
      <c r="C53" s="25" t="s">
        <v>93</v>
      </c>
      <c r="D53" s="26" t="s">
        <v>109</v>
      </c>
      <c r="E53" s="26" t="s">
        <v>110</v>
      </c>
      <c r="F53" s="27">
        <f>VLOOKUP(B53,Hoja2_2!$B$2:$G$110,6,0)</f>
        <v>43473</v>
      </c>
      <c r="G53" s="28">
        <f t="shared" ca="1" si="0"/>
        <v>7</v>
      </c>
      <c r="H53" s="29"/>
      <c r="I53" s="29"/>
      <c r="J53" s="28"/>
      <c r="K53" s="28" t="s">
        <v>17</v>
      </c>
      <c r="L53" s="28">
        <v>3</v>
      </c>
      <c r="M53" s="31" t="s">
        <v>22</v>
      </c>
      <c r="N53" s="33" t="s">
        <v>573</v>
      </c>
      <c r="O53" s="31" t="s">
        <v>576</v>
      </c>
      <c r="P53" s="31"/>
      <c r="Q53" s="31"/>
      <c r="R53" s="66"/>
      <c r="S53" s="31"/>
      <c r="T53" s="31" t="s">
        <v>14</v>
      </c>
      <c r="U53" s="31"/>
      <c r="V53" s="31"/>
    </row>
    <row r="54" spans="1:22" s="2" customFormat="1" ht="21" customHeight="1" x14ac:dyDescent="0.25">
      <c r="A54" s="23">
        <v>47</v>
      </c>
      <c r="B54" s="24">
        <v>17113644</v>
      </c>
      <c r="C54" s="25" t="s">
        <v>94</v>
      </c>
      <c r="D54" s="26" t="s">
        <v>109</v>
      </c>
      <c r="E54" s="26" t="s">
        <v>110</v>
      </c>
      <c r="F54" s="27" t="str">
        <f>VLOOKUP(B54,Hoja2_2!$B$2:$G$110,6,0)</f>
        <v>16/12/2013</v>
      </c>
      <c r="G54" s="28">
        <f t="shared" ca="1" si="0"/>
        <v>12</v>
      </c>
      <c r="H54" s="29"/>
      <c r="I54" s="29"/>
      <c r="J54" s="28"/>
      <c r="K54" s="28" t="s">
        <v>17</v>
      </c>
      <c r="L54" s="28">
        <v>1</v>
      </c>
      <c r="M54" s="31" t="s">
        <v>22</v>
      </c>
      <c r="N54" s="33" t="s">
        <v>573</v>
      </c>
      <c r="O54" s="31" t="s">
        <v>576</v>
      </c>
      <c r="P54" s="31"/>
      <c r="Q54" s="31"/>
      <c r="R54" s="66"/>
      <c r="S54" s="31"/>
      <c r="T54" s="31" t="s">
        <v>7</v>
      </c>
      <c r="U54" s="31"/>
      <c r="V54" s="31"/>
    </row>
    <row r="55" spans="1:22" s="2" customFormat="1" ht="21" customHeight="1" x14ac:dyDescent="0.25">
      <c r="A55" s="23">
        <v>48</v>
      </c>
      <c r="B55" s="24">
        <v>18983523</v>
      </c>
      <c r="C55" s="25" t="s">
        <v>95</v>
      </c>
      <c r="D55" s="26" t="s">
        <v>109</v>
      </c>
      <c r="E55" s="26" t="s">
        <v>110</v>
      </c>
      <c r="F55" s="27">
        <f>VLOOKUP(B55,Hoja2_2!$B$2:$G$110,6,0)</f>
        <v>44942</v>
      </c>
      <c r="G55" s="28">
        <f t="shared" ca="1" si="0"/>
        <v>3</v>
      </c>
      <c r="H55" s="29"/>
      <c r="I55" s="29"/>
      <c r="J55" s="28"/>
      <c r="K55" s="28" t="s">
        <v>17</v>
      </c>
      <c r="L55" s="28">
        <v>1</v>
      </c>
      <c r="M55" s="31" t="s">
        <v>22</v>
      </c>
      <c r="N55" s="33" t="s">
        <v>573</v>
      </c>
      <c r="O55" s="31" t="s">
        <v>576</v>
      </c>
      <c r="P55" s="31"/>
      <c r="Q55" s="31" t="s">
        <v>599</v>
      </c>
      <c r="R55" s="66">
        <v>16374823</v>
      </c>
      <c r="S55" s="31" t="s">
        <v>40</v>
      </c>
      <c r="T55" s="31" t="s">
        <v>15</v>
      </c>
      <c r="U55" s="31"/>
      <c r="V55" s="31"/>
    </row>
    <row r="56" spans="1:22" s="2" customFormat="1" ht="21" customHeight="1" x14ac:dyDescent="0.25">
      <c r="A56" s="23">
        <v>49</v>
      </c>
      <c r="B56" s="24">
        <v>18174495</v>
      </c>
      <c r="C56" s="25" t="s">
        <v>96</v>
      </c>
      <c r="D56" s="26" t="s">
        <v>109</v>
      </c>
      <c r="E56" s="26" t="s">
        <v>110</v>
      </c>
      <c r="F56" s="27">
        <f>VLOOKUP(B56,Hoja2_2!$B$2:$G$110,6,0)</f>
        <v>44942</v>
      </c>
      <c r="G56" s="28">
        <f t="shared" ca="1" si="0"/>
        <v>3</v>
      </c>
      <c r="H56" s="29"/>
      <c r="I56" s="29"/>
      <c r="J56" s="28"/>
      <c r="K56" s="28" t="s">
        <v>18</v>
      </c>
      <c r="L56" s="28">
        <v>2</v>
      </c>
      <c r="M56" s="31" t="s">
        <v>22</v>
      </c>
      <c r="N56" s="33" t="s">
        <v>573</v>
      </c>
      <c r="O56" s="31" t="s">
        <v>576</v>
      </c>
      <c r="P56" s="31"/>
      <c r="Q56" s="31"/>
      <c r="R56" s="66"/>
      <c r="S56" s="31"/>
      <c r="T56" s="31" t="s">
        <v>27</v>
      </c>
      <c r="U56" s="31"/>
      <c r="V56" s="31"/>
    </row>
    <row r="57" spans="1:22" s="2" customFormat="1" ht="21" customHeight="1" x14ac:dyDescent="0.25">
      <c r="A57" s="23">
        <v>50</v>
      </c>
      <c r="B57" s="24">
        <v>18080019</v>
      </c>
      <c r="C57" s="25" t="s">
        <v>97</v>
      </c>
      <c r="D57" s="26" t="s">
        <v>109</v>
      </c>
      <c r="E57" s="26" t="s">
        <v>110</v>
      </c>
      <c r="F57" s="27">
        <f>VLOOKUP(B57,Hoja2_2!$B$2:$G$110,6,0)</f>
        <v>44942</v>
      </c>
      <c r="G57" s="28">
        <f t="shared" ca="1" si="0"/>
        <v>3</v>
      </c>
      <c r="H57" s="29"/>
      <c r="I57" s="29"/>
      <c r="J57" s="28"/>
      <c r="K57" s="28" t="s">
        <v>17</v>
      </c>
      <c r="L57" s="28">
        <v>1</v>
      </c>
      <c r="M57" s="31" t="s">
        <v>22</v>
      </c>
      <c r="N57" s="33" t="s">
        <v>573</v>
      </c>
      <c r="O57" s="31" t="s">
        <v>576</v>
      </c>
      <c r="P57" s="31"/>
      <c r="Q57" s="31"/>
      <c r="R57" s="66"/>
      <c r="S57" s="31"/>
      <c r="T57" s="31" t="s">
        <v>8</v>
      </c>
      <c r="U57" s="31"/>
      <c r="V57" s="31"/>
    </row>
    <row r="58" spans="1:22" s="2" customFormat="1" ht="21" customHeight="1" x14ac:dyDescent="0.25">
      <c r="A58" s="23">
        <v>51</v>
      </c>
      <c r="B58" s="24">
        <v>22718748</v>
      </c>
      <c r="C58" s="25" t="s">
        <v>98</v>
      </c>
      <c r="D58" s="26" t="s">
        <v>109</v>
      </c>
      <c r="E58" s="26" t="s">
        <v>110</v>
      </c>
      <c r="F58" s="27">
        <f>VLOOKUP(B58,Hoja2_2!$B$2:$G$110,6,0)</f>
        <v>44942</v>
      </c>
      <c r="G58" s="28">
        <f t="shared" ca="1" si="0"/>
        <v>3</v>
      </c>
      <c r="H58" s="29"/>
      <c r="I58" s="29"/>
      <c r="J58" s="28"/>
      <c r="K58" s="28" t="s">
        <v>17</v>
      </c>
      <c r="L58" s="28">
        <v>1</v>
      </c>
      <c r="M58" s="31" t="s">
        <v>22</v>
      </c>
      <c r="N58" s="33" t="s">
        <v>573</v>
      </c>
      <c r="O58" s="31" t="s">
        <v>576</v>
      </c>
      <c r="P58" s="31"/>
      <c r="Q58" s="31" t="s">
        <v>609</v>
      </c>
      <c r="R58" s="66">
        <v>20001903</v>
      </c>
      <c r="S58" s="31" t="s">
        <v>40</v>
      </c>
      <c r="T58" s="31" t="s">
        <v>8</v>
      </c>
      <c r="U58" s="31"/>
      <c r="V58" s="31"/>
    </row>
    <row r="59" spans="1:22" s="2" customFormat="1" ht="21" customHeight="1" x14ac:dyDescent="0.25">
      <c r="A59" s="23">
        <v>52</v>
      </c>
      <c r="B59" s="24">
        <v>22720162</v>
      </c>
      <c r="C59" s="25" t="s">
        <v>99</v>
      </c>
      <c r="D59" s="26" t="s">
        <v>109</v>
      </c>
      <c r="E59" s="26" t="s">
        <v>110</v>
      </c>
      <c r="F59" s="27">
        <f>VLOOKUP(B59,Hoja2_2!$B$2:$G$110,6,0)</f>
        <v>44942</v>
      </c>
      <c r="G59" s="28">
        <f t="shared" ca="1" si="0"/>
        <v>3</v>
      </c>
      <c r="H59" s="29"/>
      <c r="I59" s="29"/>
      <c r="J59" s="28"/>
      <c r="K59" s="28" t="s">
        <v>17</v>
      </c>
      <c r="L59" s="28">
        <v>1</v>
      </c>
      <c r="M59" s="31" t="s">
        <v>22</v>
      </c>
      <c r="N59" s="33" t="s">
        <v>573</v>
      </c>
      <c r="O59" s="31" t="s">
        <v>576</v>
      </c>
      <c r="P59" s="31"/>
      <c r="Q59" s="31" t="s">
        <v>600</v>
      </c>
      <c r="R59" s="66">
        <v>19537194</v>
      </c>
      <c r="S59" s="31" t="s">
        <v>40</v>
      </c>
      <c r="T59" s="31" t="s">
        <v>15</v>
      </c>
      <c r="U59" s="31"/>
      <c r="V59" s="31"/>
    </row>
    <row r="60" spans="1:22" s="2" customFormat="1" ht="21" customHeight="1" x14ac:dyDescent="0.25">
      <c r="A60" s="23">
        <v>53</v>
      </c>
      <c r="B60" s="24">
        <v>22725746</v>
      </c>
      <c r="C60" s="25" t="s">
        <v>100</v>
      </c>
      <c r="D60" s="26" t="s">
        <v>109</v>
      </c>
      <c r="E60" s="26" t="s">
        <v>110</v>
      </c>
      <c r="F60" s="27">
        <f>VLOOKUP(B60,Hoja2_2!$B$2:$G$110,6,0)</f>
        <v>44942</v>
      </c>
      <c r="G60" s="28">
        <f t="shared" ca="1" si="0"/>
        <v>3</v>
      </c>
      <c r="H60" s="29"/>
      <c r="I60" s="29"/>
      <c r="J60" s="28"/>
      <c r="K60" s="28" t="s">
        <v>17</v>
      </c>
      <c r="L60" s="28">
        <v>2</v>
      </c>
      <c r="M60" s="31" t="s">
        <v>22</v>
      </c>
      <c r="N60" s="33" t="s">
        <v>573</v>
      </c>
      <c r="O60" s="31" t="s">
        <v>576</v>
      </c>
      <c r="P60" s="31"/>
      <c r="Q60" s="31" t="s">
        <v>601</v>
      </c>
      <c r="R60" s="66">
        <v>24504332</v>
      </c>
      <c r="S60" s="31" t="s">
        <v>40</v>
      </c>
      <c r="T60" s="31" t="s">
        <v>8</v>
      </c>
      <c r="U60" s="31"/>
      <c r="V60" s="31"/>
    </row>
    <row r="61" spans="1:22" s="2" customFormat="1" ht="21" customHeight="1" x14ac:dyDescent="0.25">
      <c r="A61" s="23">
        <v>54</v>
      </c>
      <c r="B61" s="24">
        <v>19080588</v>
      </c>
      <c r="C61" s="25" t="s">
        <v>101</v>
      </c>
      <c r="D61" s="26" t="s">
        <v>109</v>
      </c>
      <c r="E61" s="26" t="s">
        <v>110</v>
      </c>
      <c r="F61" s="27">
        <f>VLOOKUP(B61,Hoja2_2!$B$2:$G$110,6,0)</f>
        <v>44942</v>
      </c>
      <c r="G61" s="28">
        <f t="shared" ca="1" si="0"/>
        <v>3</v>
      </c>
      <c r="H61" s="29"/>
      <c r="I61" s="29"/>
      <c r="J61" s="28"/>
      <c r="K61" s="28" t="s">
        <v>17</v>
      </c>
      <c r="L61" s="28">
        <v>4</v>
      </c>
      <c r="M61" s="31" t="s">
        <v>22</v>
      </c>
      <c r="N61" s="33" t="s">
        <v>573</v>
      </c>
      <c r="O61" s="31" t="s">
        <v>576</v>
      </c>
      <c r="P61" s="31"/>
      <c r="Q61" s="31" t="s">
        <v>602</v>
      </c>
      <c r="R61" s="66">
        <v>18075785</v>
      </c>
      <c r="S61" s="31" t="s">
        <v>38</v>
      </c>
      <c r="T61" s="31" t="s">
        <v>7</v>
      </c>
      <c r="U61" s="31"/>
      <c r="V61" s="31"/>
    </row>
    <row r="62" spans="1:22" s="2" customFormat="1" ht="21" customHeight="1" x14ac:dyDescent="0.25">
      <c r="A62" s="23">
        <v>55</v>
      </c>
      <c r="B62" s="24">
        <v>20310911</v>
      </c>
      <c r="C62" s="25" t="s">
        <v>102</v>
      </c>
      <c r="D62" s="26" t="s">
        <v>109</v>
      </c>
      <c r="E62" s="26" t="s">
        <v>110</v>
      </c>
      <c r="F62" s="27">
        <f>VLOOKUP(B62,Hoja2_2!$B$2:$G$110,6,0)</f>
        <v>44942</v>
      </c>
      <c r="G62" s="28">
        <f t="shared" ca="1" si="0"/>
        <v>3</v>
      </c>
      <c r="H62" s="29"/>
      <c r="I62" s="29"/>
      <c r="J62" s="28"/>
      <c r="K62" s="28" t="s">
        <v>17</v>
      </c>
      <c r="L62" s="28">
        <v>3</v>
      </c>
      <c r="M62" s="31" t="s">
        <v>22</v>
      </c>
      <c r="N62" s="33" t="s">
        <v>573</v>
      </c>
      <c r="O62" s="31" t="s">
        <v>576</v>
      </c>
      <c r="P62" s="31"/>
      <c r="Q62" s="31"/>
      <c r="R62" s="66"/>
      <c r="S62" s="31"/>
      <c r="T62" s="31" t="s">
        <v>8</v>
      </c>
      <c r="U62" s="31"/>
      <c r="V62" s="31"/>
    </row>
    <row r="63" spans="1:22" s="2" customFormat="1" ht="21" customHeight="1" x14ac:dyDescent="0.25">
      <c r="A63" s="23">
        <v>56</v>
      </c>
      <c r="B63" s="24">
        <v>18075785</v>
      </c>
      <c r="C63" s="25" t="s">
        <v>103</v>
      </c>
      <c r="D63" s="26" t="s">
        <v>109</v>
      </c>
      <c r="E63" s="26" t="s">
        <v>110</v>
      </c>
      <c r="F63" s="27">
        <f>VLOOKUP(B63,Hoja2_2!$B$2:$G$110,6,0)</f>
        <v>44942</v>
      </c>
      <c r="G63" s="28">
        <f t="shared" ca="1" si="0"/>
        <v>3</v>
      </c>
      <c r="H63" s="29"/>
      <c r="I63" s="29"/>
      <c r="J63" s="28"/>
      <c r="K63" s="28" t="s">
        <v>17</v>
      </c>
      <c r="L63" s="28">
        <v>3</v>
      </c>
      <c r="M63" s="31" t="s">
        <v>22</v>
      </c>
      <c r="N63" s="33" t="s">
        <v>573</v>
      </c>
      <c r="O63" s="31" t="s">
        <v>576</v>
      </c>
      <c r="P63" s="31"/>
      <c r="Q63" s="31" t="s">
        <v>603</v>
      </c>
      <c r="R63" s="66">
        <v>19080588</v>
      </c>
      <c r="S63" s="31" t="s">
        <v>38</v>
      </c>
      <c r="T63" s="31" t="s">
        <v>7</v>
      </c>
      <c r="U63" s="31"/>
      <c r="V63" s="31"/>
    </row>
    <row r="64" spans="1:22" s="2" customFormat="1" ht="21" customHeight="1" x14ac:dyDescent="0.25">
      <c r="A64" s="23">
        <v>57</v>
      </c>
      <c r="B64" s="24">
        <v>17092720</v>
      </c>
      <c r="C64" s="25" t="s">
        <v>104</v>
      </c>
      <c r="D64" s="26" t="s">
        <v>109</v>
      </c>
      <c r="E64" s="26" t="s">
        <v>110</v>
      </c>
      <c r="F64" s="27">
        <f>VLOOKUP(B64,Hoja2_2!$B$2:$G$110,6,0)</f>
        <v>39387</v>
      </c>
      <c r="G64" s="28">
        <f t="shared" ca="1" si="0"/>
        <v>18</v>
      </c>
      <c r="H64" s="29"/>
      <c r="I64" s="29"/>
      <c r="J64" s="28"/>
      <c r="K64" s="28" t="s">
        <v>20</v>
      </c>
      <c r="L64" s="28">
        <v>4</v>
      </c>
      <c r="M64" s="31" t="s">
        <v>22</v>
      </c>
      <c r="N64" s="33" t="s">
        <v>573</v>
      </c>
      <c r="O64" s="31" t="s">
        <v>576</v>
      </c>
      <c r="P64" s="31"/>
      <c r="Q64" s="31" t="s">
        <v>604</v>
      </c>
      <c r="R64" s="66">
        <v>16722404</v>
      </c>
      <c r="S64" s="31" t="s">
        <v>38</v>
      </c>
      <c r="T64" s="31" t="s">
        <v>27</v>
      </c>
      <c r="U64" s="31"/>
      <c r="V64" s="31"/>
    </row>
    <row r="65" spans="1:22" s="2" customFormat="1" ht="21" customHeight="1" x14ac:dyDescent="0.25">
      <c r="A65" s="23">
        <v>58</v>
      </c>
      <c r="B65" s="24">
        <v>15335432</v>
      </c>
      <c r="C65" s="25" t="s">
        <v>105</v>
      </c>
      <c r="D65" s="26" t="s">
        <v>109</v>
      </c>
      <c r="E65" s="26" t="s">
        <v>110</v>
      </c>
      <c r="F65" s="27">
        <f>VLOOKUP(B65,Hoja2_2!$B$2:$G$110,6,0)</f>
        <v>38412</v>
      </c>
      <c r="G65" s="28">
        <f t="shared" ca="1" si="0"/>
        <v>21</v>
      </c>
      <c r="H65" s="29"/>
      <c r="I65" s="29"/>
      <c r="J65" s="28"/>
      <c r="K65" s="28" t="s">
        <v>18</v>
      </c>
      <c r="L65" s="28">
        <v>2</v>
      </c>
      <c r="M65" s="31" t="s">
        <v>22</v>
      </c>
      <c r="N65" s="33" t="s">
        <v>573</v>
      </c>
      <c r="O65" s="31" t="s">
        <v>576</v>
      </c>
      <c r="P65" s="31"/>
      <c r="Q65" s="31" t="s">
        <v>605</v>
      </c>
      <c r="R65" s="66">
        <v>16723836</v>
      </c>
      <c r="S65" s="31" t="s">
        <v>38</v>
      </c>
      <c r="T65" s="31" t="s">
        <v>27</v>
      </c>
      <c r="U65" s="31"/>
      <c r="V65" s="31"/>
    </row>
    <row r="66" spans="1:22" s="2" customFormat="1" ht="21" customHeight="1" x14ac:dyDescent="0.25">
      <c r="A66" s="23">
        <v>59</v>
      </c>
      <c r="B66" s="24">
        <v>11381867</v>
      </c>
      <c r="C66" s="25" t="s">
        <v>107</v>
      </c>
      <c r="D66" s="26" t="s">
        <v>109</v>
      </c>
      <c r="E66" s="26" t="s">
        <v>110</v>
      </c>
      <c r="F66" s="27">
        <f>VLOOKUP(B66,Hoja2_2!$B$2:$G$110,6,0)</f>
        <v>38784</v>
      </c>
      <c r="G66" s="28">
        <f t="shared" ca="1" si="0"/>
        <v>20</v>
      </c>
      <c r="H66" s="29"/>
      <c r="I66" s="29"/>
      <c r="J66" s="28"/>
      <c r="K66" s="28" t="s">
        <v>20</v>
      </c>
      <c r="L66" s="28">
        <v>5</v>
      </c>
      <c r="M66" s="31" t="s">
        <v>22</v>
      </c>
      <c r="N66" s="33" t="s">
        <v>573</v>
      </c>
      <c r="O66" s="31" t="s">
        <v>576</v>
      </c>
      <c r="P66" s="31"/>
      <c r="Q66" s="31" t="s">
        <v>606</v>
      </c>
      <c r="R66" s="66">
        <v>10933408</v>
      </c>
      <c r="S66" s="31" t="s">
        <v>40</v>
      </c>
      <c r="T66" s="31" t="s">
        <v>27</v>
      </c>
      <c r="U66" s="31"/>
      <c r="V66" s="31"/>
    </row>
    <row r="67" spans="1:22" s="2" customFormat="1" ht="21" customHeight="1" x14ac:dyDescent="0.25">
      <c r="A67" s="23">
        <v>60</v>
      </c>
      <c r="B67" s="24">
        <v>17242954</v>
      </c>
      <c r="C67" s="25" t="s">
        <v>108</v>
      </c>
      <c r="D67" s="26" t="s">
        <v>109</v>
      </c>
      <c r="E67" s="26" t="s">
        <v>110</v>
      </c>
      <c r="F67" s="27" t="str">
        <f>VLOOKUP(B67,Hoja2_2!$B$2:$G$110,6,0)</f>
        <v>07/04/2008</v>
      </c>
      <c r="G67" s="28">
        <f t="shared" ca="1" si="0"/>
        <v>18</v>
      </c>
      <c r="H67" s="29"/>
      <c r="I67" s="29"/>
      <c r="J67" s="28"/>
      <c r="K67" s="28" t="s">
        <v>20</v>
      </c>
      <c r="L67" s="28">
        <v>3</v>
      </c>
      <c r="M67" s="31" t="s">
        <v>22</v>
      </c>
      <c r="N67" s="33" t="s">
        <v>573</v>
      </c>
      <c r="O67" s="31" t="s">
        <v>576</v>
      </c>
      <c r="P67" s="31"/>
      <c r="Q67" s="31" t="s">
        <v>572</v>
      </c>
      <c r="R67" s="66">
        <v>18788707</v>
      </c>
      <c r="S67" s="31" t="s">
        <v>38</v>
      </c>
      <c r="T67" s="31" t="s">
        <v>27</v>
      </c>
      <c r="U67" s="31"/>
      <c r="V67" s="31"/>
    </row>
    <row r="70" spans="1:22" ht="21" customHeight="1" x14ac:dyDescent="0.2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 spans="1:22" s="2" customFormat="1" ht="21" customHeight="1" x14ac:dyDescent="0.25">
      <c r="A71" s="35">
        <v>1</v>
      </c>
      <c r="B71" s="36"/>
      <c r="C71" s="37"/>
      <c r="D71" s="37"/>
      <c r="E71" s="38"/>
      <c r="F71" s="39"/>
      <c r="G71" s="40"/>
      <c r="H71" s="41"/>
      <c r="I71" s="41"/>
      <c r="J71" s="40"/>
      <c r="K71" s="40" t="s">
        <v>17</v>
      </c>
      <c r="L71" s="40"/>
      <c r="M71" s="42" t="s">
        <v>22</v>
      </c>
      <c r="N71" s="42"/>
      <c r="O71" s="42" t="s">
        <v>22</v>
      </c>
      <c r="P71" s="42"/>
      <c r="Q71" s="42"/>
      <c r="R71" s="42"/>
      <c r="S71" s="42"/>
      <c r="T71" s="42" t="s">
        <v>8</v>
      </c>
      <c r="U71" s="42"/>
      <c r="V71" s="42" t="s">
        <v>32</v>
      </c>
    </row>
    <row r="72" spans="1:22" s="2" customFormat="1" ht="21" customHeight="1" x14ac:dyDescent="0.25">
      <c r="A72" s="35">
        <v>2</v>
      </c>
      <c r="B72" s="36"/>
      <c r="C72" s="37"/>
      <c r="D72" s="37"/>
      <c r="E72" s="38"/>
      <c r="F72" s="39"/>
      <c r="G72" s="40"/>
      <c r="H72" s="41"/>
      <c r="I72" s="41"/>
      <c r="J72" s="40"/>
      <c r="K72" s="40" t="s">
        <v>20</v>
      </c>
      <c r="L72" s="40"/>
      <c r="M72" s="42" t="s">
        <v>22</v>
      </c>
      <c r="N72" s="42"/>
      <c r="O72" s="42" t="s">
        <v>22</v>
      </c>
      <c r="P72" s="42"/>
      <c r="Q72" s="42"/>
      <c r="R72" s="42"/>
      <c r="S72" s="42"/>
      <c r="T72" s="42" t="s">
        <v>27</v>
      </c>
      <c r="U72" s="42"/>
      <c r="V72" s="42" t="s">
        <v>30</v>
      </c>
    </row>
    <row r="73" spans="1:22" s="2" customFormat="1" ht="21" customHeight="1" x14ac:dyDescent="0.25">
      <c r="A73" s="35">
        <v>3</v>
      </c>
      <c r="B73" s="36"/>
      <c r="C73" s="37"/>
      <c r="D73" s="37"/>
      <c r="E73" s="38"/>
      <c r="F73" s="39"/>
      <c r="G73" s="40"/>
      <c r="H73" s="41"/>
      <c r="I73" s="41"/>
      <c r="J73" s="40"/>
      <c r="K73" s="40" t="s">
        <v>20</v>
      </c>
      <c r="L73" s="40"/>
      <c r="M73" s="42" t="s">
        <v>22</v>
      </c>
      <c r="N73" s="42"/>
      <c r="O73" s="42" t="s">
        <v>22</v>
      </c>
      <c r="P73" s="42"/>
      <c r="Q73" s="42"/>
      <c r="R73" s="42"/>
      <c r="S73" s="42"/>
      <c r="T73" s="42" t="s">
        <v>27</v>
      </c>
      <c r="U73" s="42"/>
      <c r="V73" s="42" t="s">
        <v>30</v>
      </c>
    </row>
    <row r="74" spans="1:22" s="2" customFormat="1" ht="21" customHeight="1" x14ac:dyDescent="0.25">
      <c r="A74" s="43">
        <v>4</v>
      </c>
      <c r="B74" s="36"/>
      <c r="C74" s="37"/>
      <c r="D74" s="37"/>
      <c r="E74" s="44"/>
      <c r="F74" s="39"/>
      <c r="G74" s="40"/>
      <c r="H74" s="41"/>
      <c r="I74" s="41"/>
      <c r="J74" s="40"/>
      <c r="K74" s="40" t="s">
        <v>20</v>
      </c>
      <c r="L74" s="40"/>
      <c r="M74" s="42" t="s">
        <v>22</v>
      </c>
      <c r="N74" s="42"/>
      <c r="O74" s="42" t="s">
        <v>21</v>
      </c>
      <c r="P74" s="42"/>
      <c r="Q74" s="42"/>
      <c r="R74" s="42"/>
      <c r="S74" s="42"/>
      <c r="T74" s="42" t="s">
        <v>27</v>
      </c>
      <c r="U74" s="42"/>
      <c r="V74" s="42" t="s">
        <v>30</v>
      </c>
    </row>
    <row r="75" spans="1:22" s="2" customFormat="1" ht="21" customHeight="1" x14ac:dyDescent="0.25">
      <c r="A75" s="43">
        <v>5</v>
      </c>
      <c r="B75" s="36"/>
      <c r="C75" s="37"/>
      <c r="D75" s="37"/>
      <c r="E75" s="44"/>
      <c r="F75" s="39"/>
      <c r="G75" s="40"/>
      <c r="H75" s="41"/>
      <c r="I75" s="41"/>
      <c r="J75" s="40"/>
      <c r="K75" s="40" t="s">
        <v>20</v>
      </c>
      <c r="L75" s="40"/>
      <c r="M75" s="42" t="s">
        <v>22</v>
      </c>
      <c r="N75" s="42"/>
      <c r="O75" s="42" t="s">
        <v>22</v>
      </c>
      <c r="P75" s="42"/>
      <c r="Q75" s="42"/>
      <c r="R75" s="42"/>
      <c r="S75" s="42"/>
      <c r="T75" s="42" t="s">
        <v>27</v>
      </c>
      <c r="U75" s="42"/>
      <c r="V75" s="42" t="s">
        <v>30</v>
      </c>
    </row>
    <row r="76" spans="1:22" s="2" customFormat="1" ht="21" customHeight="1" x14ac:dyDescent="0.25">
      <c r="A76" s="35">
        <v>6</v>
      </c>
      <c r="B76" s="36"/>
      <c r="C76" s="37"/>
      <c r="D76" s="37"/>
      <c r="E76" s="38"/>
      <c r="F76" s="39"/>
      <c r="G76" s="40"/>
      <c r="H76" s="41"/>
      <c r="I76" s="41"/>
      <c r="J76" s="40"/>
      <c r="K76" s="40" t="s">
        <v>17</v>
      </c>
      <c r="L76" s="40"/>
      <c r="M76" s="42" t="s">
        <v>22</v>
      </c>
      <c r="N76" s="42"/>
      <c r="O76" s="42" t="s">
        <v>22</v>
      </c>
      <c r="P76" s="42"/>
      <c r="Q76" s="42"/>
      <c r="R76" s="42"/>
      <c r="S76" s="42"/>
      <c r="T76" s="42" t="s">
        <v>15</v>
      </c>
      <c r="U76" s="42"/>
      <c r="V76" s="42" t="s">
        <v>30</v>
      </c>
    </row>
  </sheetData>
  <autoFilter ref="A7:AB67" xr:uid="{00000000-0001-0000-0100-000000000000}">
    <filterColumn colId="13">
      <filters>
        <filter val="SOLICITADO"/>
      </filters>
    </filterColumn>
  </autoFilter>
  <dataConsolidate/>
  <mergeCells count="2">
    <mergeCell ref="A1:N1"/>
    <mergeCell ref="C2:D2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100-000000000000}">
          <x14:formula1>
            <xm:f>CONDICIONES!$A$11:$A$12</xm:f>
          </x14:formula1>
          <xm:sqref>O76 M76 O8:O67 O71:O73 M71:M73 M8:M67</xm:sqref>
        </x14:dataValidation>
        <x14:dataValidation type="list" allowBlank="1" showInputMessage="1" showErrorMessage="1" xr:uid="{00000000-0002-0000-0100-000001000000}">
          <x14:formula1>
            <xm:f>CONDICIONES!$A$4:$A$7</xm:f>
          </x14:formula1>
          <xm:sqref>K8:K67 K71:K73 K76</xm:sqref>
        </x14:dataValidation>
        <x14:dataValidation type="list" allowBlank="1" showInputMessage="1" showErrorMessage="1" xr:uid="{00000000-0002-0000-0100-000002000000}">
          <x14:formula1>
            <xm:f>CONDICIONES!$A$16:$A$18</xm:f>
          </x14:formula1>
          <xm:sqref>S8:S67 S71:S73 S76</xm:sqref>
        </x14:dataValidation>
        <x14:dataValidation type="list" allowBlank="1" showInputMessage="1" showErrorMessage="1" xr:uid="{00000000-0002-0000-0100-000003000000}">
          <x14:formula1>
            <xm:f>CONDICIONES!$C$4:$C$11</xm:f>
          </x14:formula1>
          <xm:sqref>T76 T71:T73 T8:T67</xm:sqref>
        </x14:dataValidation>
        <x14:dataValidation type="list" allowBlank="1" showInputMessage="1" showErrorMessage="1" xr:uid="{00000000-0002-0000-0100-000004000000}">
          <x14:formula1>
            <xm:f>CONDICIONES!$A$22:$A$24</xm:f>
          </x14:formula1>
          <xm:sqref>V8:V67 V71:V73 V76</xm:sqref>
        </x14:dataValidation>
        <x14:dataValidation type="list" allowBlank="1" showInputMessage="1" showErrorMessage="1" xr:uid="{00000000-0002-0000-0100-000005000000}">
          <x14:formula1>
            <xm:f>'D:\[Copia de 2.- FORMATO ESTATUS PAAV _ abril2026.xlsx]CONDICIONES'!#REF!</xm:f>
          </x14:formula1>
          <xm:sqref>M74:M75 O74:O75 V74:V75 S74:T75 K74:K75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Hoja2_2</vt:lpstr>
      <vt:lpstr>CONDICIONES</vt:lpstr>
      <vt:lpstr>GERENCIA </vt:lpstr>
      <vt:lpstr>'GERENCIA '!Área_de_impresión</vt:lpstr>
      <vt:lpstr>Hoja2_2!Excel_BuiltIn__FilterDatabase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 NIDIA</dc:creator>
  <cp:lastModifiedBy>Luis Alfredo Velásquez Alcázar</cp:lastModifiedBy>
  <dcterms:created xsi:type="dcterms:W3CDTF">2024-02-17T13:24:15Z</dcterms:created>
  <dcterms:modified xsi:type="dcterms:W3CDTF">2026-06-18T20:06:42Z</dcterms:modified>
</cp:coreProperties>
</file>